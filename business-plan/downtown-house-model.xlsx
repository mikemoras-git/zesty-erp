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" sheetId="2" state="visible" r:id="rId2"/>
    <sheet name="Model" sheetId="3" state="visible" r:id="rId3"/>
    <sheet name="Returns" sheetId="4" state="visible" r:id="rId4"/>
    <sheet name="Check vs PD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b val="1"/>
      <color rgb="00A6192E"/>
      <sz val="14"/>
    </font>
    <font>
      <i val="1"/>
      <color rgb="00808080"/>
      <sz val="9"/>
    </font>
    <font>
      <b val="1"/>
    </font>
    <font>
      <b val="1"/>
      <color rgb="000563C1"/>
    </font>
    <font>
      <b val="1"/>
      <color rgb="00FFFFFF"/>
    </font>
    <font>
      <b val="1"/>
      <color rgb="00FFFFFF"/>
      <sz val="10"/>
    </font>
    <font>
      <color rgb="000563C1"/>
    </font>
    <font>
      <i val="1"/>
      <color rgb="00404040"/>
    </font>
    <font>
      <i val="1"/>
      <color rgb="00548235"/>
      <sz val="9"/>
    </font>
    <font>
      <b val="1"/>
      <color rgb="00A6192E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3F3F3F"/>
      </patternFill>
    </fill>
    <fill>
      <patternFill patternType="solid">
        <fgColor rgb="007F7F7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top style="thin">
        <color rgb="007F7F7F"/>
      </top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0" fillId="4" borderId="0" pivotButton="0" quotePrefix="0" xfId="0"/>
    <xf numFmtId="1" fontId="7" fillId="2" borderId="0" pivotButton="0" quotePrefix="0" xfId="0"/>
    <xf numFmtId="1" fontId="8" fillId="5" borderId="0" pivotButton="0" quotePrefix="0" xfId="0"/>
    <xf numFmtId="164" fontId="7" fillId="2" borderId="0" pivotButton="0" quotePrefix="0" xfId="0"/>
    <xf numFmtId="164" fontId="8" fillId="5" borderId="0" pivotButton="0" quotePrefix="0" xfId="0"/>
    <xf numFmtId="4" fontId="7" fillId="2" borderId="0" pivotButton="0" quotePrefix="0" xfId="0"/>
    <xf numFmtId="4" fontId="8" fillId="5" borderId="0" pivotButton="0" quotePrefix="0" xfId="0"/>
    <xf numFmtId="3" fontId="7" fillId="2" borderId="0" pivotButton="0" quotePrefix="0" xfId="0"/>
    <xf numFmtId="3" fontId="8" fillId="5" borderId="0" pivotButton="0" quotePrefix="0" xfId="0"/>
    <xf numFmtId="10" fontId="7" fillId="2" borderId="0" pivotButton="0" quotePrefix="0" xfId="0"/>
    <xf numFmtId="10" fontId="8" fillId="5" borderId="0" pivotButton="0" quotePrefix="0" xfId="0"/>
    <xf numFmtId="0" fontId="5" fillId="3" borderId="0" applyAlignment="1" pivotButton="0" quotePrefix="0" xfId="0">
      <alignment horizontal="center"/>
    </xf>
    <xf numFmtId="1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3" fontId="3" fillId="0" borderId="1" pivotButton="0" quotePrefix="0" xfId="0"/>
    <xf numFmtId="0" fontId="9" fillId="0" borderId="0" pivotButton="0" quotePrefix="0" xfId="0"/>
    <xf numFmtId="164" fontId="9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0" fontId="1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The Downtown house, a social hub at Megaro Foumi — financial model</t>
        </is>
      </c>
    </row>
    <row r="2">
      <c r="A2" s="2" t="inlineStr">
        <is>
          <t>Reconstructed source model for the GBR Consulting business plan (May 2024, draft)</t>
        </is>
      </c>
    </row>
    <row r="3">
      <c r="A3" t="inlineStr"/>
    </row>
    <row r="4">
      <c r="A4" s="3" t="inlineStr">
        <is>
          <t>WHAT THIS FILE IS</t>
        </is>
      </c>
    </row>
    <row r="5">
      <c r="A5" t="inlineStr">
        <is>
          <t>A working version of the spreadsheet model behind the plan's financial tables (pages 9-11).</t>
        </is>
      </c>
    </row>
    <row r="6">
      <c r="A6" t="inlineStr">
        <is>
          <t>It was reverse-engineered from the printed figures: every relationship below reproduces the PDF</t>
        </is>
      </c>
    </row>
    <row r="7">
      <c r="A7" t="inlineStr">
        <is>
          <t>to the euro, and the 'Check vs PDF' sheet proves it against all ~230 printed numbers.</t>
        </is>
      </c>
    </row>
    <row r="8">
      <c r="A8" t="inlineStr"/>
    </row>
    <row r="9">
      <c r="A9" s="3" t="inlineStr">
        <is>
          <t>HOW TO USE IT</t>
        </is>
      </c>
    </row>
    <row r="10">
      <c r="A10" t="inlineStr">
        <is>
          <t>1. All inputs live on the 'Inputs' sheet in the blue cells; everything else is formulas.</t>
        </is>
      </c>
    </row>
    <row r="11">
      <c r="A11" t="inlineStr">
        <is>
          <t>2. Pick a scenario in Inputs!B4 (Base / Upside / Downside). Base = the plan as published.</t>
        </is>
      </c>
    </row>
    <row r="12">
      <c r="A12" t="inlineStr">
        <is>
          <t xml:space="preserve">   Upside and Downside start as illustrative placeholders — overwrite them with your own scenarios.</t>
        </is>
      </c>
    </row>
    <row r="13">
      <c r="A13" t="inlineStr">
        <is>
          <t>3. 'Model' is the P&amp;L (2025-2044); 'Returns' gives net cash flow, NPV and IRR (2024-2044).</t>
        </is>
      </c>
    </row>
    <row r="14">
      <c r="A14" t="inlineStr">
        <is>
          <t>4. 'Check vs PDF' compares the live model to the printed figures. With the Base scenario every</t>
        </is>
      </c>
    </row>
    <row r="15">
      <c r="A15" t="inlineStr">
        <is>
          <t xml:space="preserve">   row should read OK; tolerances only allow for the PDF's own display rounding.</t>
        </is>
      </c>
    </row>
    <row r="16">
      <c r="A16" t="inlineStr">
        <is>
          <t xml:space="preserve">   (If a spreadsheet app shows zeros, force a recalculation — e.g. Ctrl+Shift+F9 in LibreOffice.)</t>
        </is>
      </c>
    </row>
    <row r="17">
      <c r="A17" t="inlineStr"/>
    </row>
    <row r="18">
      <c r="A18" s="3" t="inlineStr">
        <is>
          <t>HOW THE MODEL WORKS (all proven against the PDF)</t>
        </is>
      </c>
    </row>
    <row r="19">
      <c r="A19" t="inlineStr">
        <is>
          <t>- Rooms: 5 rooms x 365 days; occupancy ramps 65/70/75/80%, flat at 80% thereafter.</t>
        </is>
      </c>
    </row>
    <row r="20">
      <c r="A20" t="inlineStr">
        <is>
          <t>- ADR ramps to the stabilised level in 2028, then grows at inflation (2%). The PDF prints ADR</t>
        </is>
      </c>
    </row>
    <row r="21">
      <c r="A21" t="inlineStr">
        <is>
          <t xml:space="preserve">  rounded to whole euros; the inputs hold the exact implied values (113.22/121.90/130.88/140.50).</t>
        </is>
      </c>
    </row>
    <row r="22">
      <c r="A22" t="inlineStr">
        <is>
          <t>- F&amp;B revenue: direct inputs for 2025-2028, then +2% per year.</t>
        </is>
      </c>
    </row>
    <row r="23">
      <c r="A23" t="inlineStr">
        <is>
          <t>- Departmental costs: Rooms = 12.28/11.96/11.68/11.40% of room revenue (11.40% from 2028);</t>
        </is>
      </c>
    </row>
    <row r="24">
      <c r="A24" t="inlineStr">
        <is>
          <t xml:space="preserve">  F&amp;B = 37.5% of F&amp;B revenue; Staff = EUR 533,868 in 2025 growing 2%/year (32 FTEs).</t>
        </is>
      </c>
    </row>
    <row r="25">
      <c r="A25" t="inlineStr">
        <is>
          <t>- Undistributed: A&amp;G = EUR 82,212 fixed (grows 2%/yr) + 2% of revenue; Marketing 3%;</t>
        </is>
      </c>
    </row>
    <row r="26">
      <c r="A26" t="inlineStr">
        <is>
          <t xml:space="preserve">  Property Ops &amp; Maintenance 3%; Utilities 4.5% of total revenue.</t>
        </is>
      </c>
    </row>
    <row r="27">
      <c r="A27" t="inlineStr">
        <is>
          <t>- Fixed charges: rent EUR 15,000 (2024-2029), EUR 21,000 (2030-2034), EUR 90,000 from 2035;</t>
        </is>
      </c>
    </row>
    <row r="28">
      <c r="A28" t="inlineStr">
        <is>
          <t xml:space="preserve">  reserve for replacement 1% of revenue in year 1, 2% thereafter.</t>
        </is>
      </c>
    </row>
    <row r="29">
      <c r="A29" t="inlineStr">
        <is>
          <t>- Returns: CAPEX EUR 1.5m + EUR 100k pre-opening, both +24% VAT paid in 2024; VAT fully</t>
        </is>
      </c>
    </row>
    <row r="30">
      <c r="A30" t="inlineStr">
        <is>
          <t xml:space="preserve">  recovered in 2025; NPV at 10% with the 2024 outflow discounted one year (Excel NPV convention).</t>
        </is>
      </c>
    </row>
    <row r="31">
      <c r="A31" t="inlineStr"/>
    </row>
    <row r="32">
      <c r="A32" s="3" t="inlineStr">
        <is>
          <t>CAVEATS</t>
        </is>
      </c>
    </row>
    <row r="33">
      <c r="A33" t="inlineStr">
        <is>
          <t>- The EUR 90,000 rent from 2035 is not printed anywhere in the PDF; it is the value implied by the</t>
        </is>
      </c>
    </row>
    <row r="34">
      <c r="A34" t="inlineStr">
        <is>
          <t xml:space="preserve">  PDF's 2044 NOI (414,765) and NPV (746,821). Check it against the actual lease before relying on it.</t>
        </is>
      </c>
    </row>
    <row r="35">
      <c r="A35" t="inlineStr">
        <is>
          <t>- The ramp-up values (ADR, F&amp;B, rooms-cost %) are taken as direct inputs; the consultants may have</t>
        </is>
      </c>
    </row>
    <row r="36">
      <c r="A36" t="inlineStr">
        <is>
          <t xml:space="preserve">  derived them from a monthly/seasonality model that annual figures cannot reveal.</t>
        </is>
      </c>
    </row>
    <row r="37">
      <c r="A37" t="inlineStr">
        <is>
          <t>- The CAPEX grant driver (plan mentions applying for 60-75%) is set to 0% in Base, received 2025.</t>
        </is>
      </c>
    </row>
    <row r="38">
      <c r="A38" t="inlineStr">
        <is>
          <t>- This reconstruction is for analysis; it is not GBR Consulting's original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2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Inputs &amp; scenarios — The Downtown house, Megaro Foumi</t>
        </is>
      </c>
    </row>
    <row r="2">
      <c r="A2" s="2" t="inlineStr">
        <is>
          <t>Edit the blue cells. The model reads the 'Active value' column, driven by the scenario selector below. Base reproduces the May 2024 GBR plan; Upside/Downside are illustrative placeholders — set them to whatever scenarios you want to test.</t>
        </is>
      </c>
    </row>
    <row r="4">
      <c r="A4" s="3" t="inlineStr">
        <is>
          <t>Active scenario</t>
        </is>
      </c>
      <c r="B4" s="4" t="inlineStr">
        <is>
          <t>Base</t>
        </is>
      </c>
    </row>
    <row r="6">
      <c r="A6" s="5" t="inlineStr">
        <is>
          <t>Driver</t>
        </is>
      </c>
      <c r="B6" s="5" t="inlineStr">
        <is>
          <t>Unit</t>
        </is>
      </c>
      <c r="C6" s="5" t="inlineStr">
        <is>
          <t>Base</t>
        </is>
      </c>
      <c r="D6" s="5" t="inlineStr">
        <is>
          <t>Upside</t>
        </is>
      </c>
      <c r="E6" s="5" t="inlineStr">
        <is>
          <t>Downside</t>
        </is>
      </c>
      <c r="F6" s="5" t="inlineStr">
        <is>
          <t>Active value</t>
        </is>
      </c>
    </row>
    <row r="7">
      <c r="A7" s="6" t="inlineStr">
        <is>
          <t>ACCOMMODATION</t>
        </is>
      </c>
      <c r="B7" s="7" t="n"/>
      <c r="C7" s="7" t="n"/>
      <c r="D7" s="7" t="n"/>
      <c r="E7" s="7" t="n"/>
      <c r="F7" s="7" t="n"/>
    </row>
    <row r="8">
      <c r="A8" t="inlineStr">
        <is>
          <t>Number of rooms</t>
        </is>
      </c>
      <c r="B8" s="2" t="inlineStr">
        <is>
          <t>rooms</t>
        </is>
      </c>
      <c r="C8" s="8" t="n">
        <v>5</v>
      </c>
      <c r="D8" s="8" t="n">
        <v>5</v>
      </c>
      <c r="E8" s="8" t="n">
        <v>5</v>
      </c>
      <c r="F8" s="9">
        <f>INDEX(C8:E8,MATCH($B$4,$C$6:$E$6,0))</f>
        <v/>
      </c>
    </row>
    <row r="9">
      <c r="A9" t="inlineStr">
        <is>
          <t>Operating days per year</t>
        </is>
      </c>
      <c r="B9" s="2" t="inlineStr">
        <is>
          <t>days</t>
        </is>
      </c>
      <c r="C9" s="8" t="n">
        <v>365</v>
      </c>
      <c r="D9" s="8" t="n">
        <v>365</v>
      </c>
      <c r="E9" s="8" t="n">
        <v>365</v>
      </c>
      <c r="F9" s="9">
        <f>INDEX(C9:E9,MATCH($B$4,$C$6:$E$6,0))</f>
        <v/>
      </c>
    </row>
    <row r="10">
      <c r="A10" t="inlineStr">
        <is>
          <t>Occupancy — year 1 (2025)</t>
        </is>
      </c>
      <c r="B10" s="2" t="inlineStr">
        <is>
          <t>% of available rooms</t>
        </is>
      </c>
      <c r="C10" s="10" t="n">
        <v>0.65</v>
      </c>
      <c r="D10" s="10" t="n">
        <v>0.7</v>
      </c>
      <c r="E10" s="10" t="n">
        <v>0.55</v>
      </c>
      <c r="F10" s="11">
        <f>INDEX(C10:E10,MATCH($B$4,$C$6:$E$6,0))</f>
        <v/>
      </c>
    </row>
    <row r="11">
      <c r="A11" t="inlineStr">
        <is>
          <t>Occupancy — year 2 (2026)</t>
        </is>
      </c>
      <c r="B11" s="2" t="inlineStr">
        <is>
          <t>% of available rooms</t>
        </is>
      </c>
      <c r="C11" s="10" t="n">
        <v>0.7</v>
      </c>
      <c r="D11" s="10" t="n">
        <v>0.75</v>
      </c>
      <c r="E11" s="10" t="n">
        <v>0.6</v>
      </c>
      <c r="F11" s="11">
        <f>INDEX(C11:E11,MATCH($B$4,$C$6:$E$6,0))</f>
        <v/>
      </c>
    </row>
    <row r="12">
      <c r="A12" t="inlineStr">
        <is>
          <t>Occupancy — year 3 (2027)</t>
        </is>
      </c>
      <c r="B12" s="2" t="inlineStr">
        <is>
          <t>% of available rooms</t>
        </is>
      </c>
      <c r="C12" s="10" t="n">
        <v>0.75</v>
      </c>
      <c r="D12" s="10" t="n">
        <v>0.8</v>
      </c>
      <c r="E12" s="10" t="n">
        <v>0.65</v>
      </c>
      <c r="F12" s="11">
        <f>INDEX(C12:E12,MATCH($B$4,$C$6:$E$6,0))</f>
        <v/>
      </c>
    </row>
    <row r="13">
      <c r="A13" t="inlineStr">
        <is>
          <t>Occupancy — year 4 (2028) and after (stabilised)</t>
        </is>
      </c>
      <c r="B13" s="2" t="inlineStr">
        <is>
          <t>% of available rooms</t>
        </is>
      </c>
      <c r="C13" s="10" t="n">
        <v>0.8</v>
      </c>
      <c r="D13" s="10" t="n">
        <v>0.85</v>
      </c>
      <c r="E13" s="10" t="n">
        <v>0.7</v>
      </c>
      <c r="F13" s="11">
        <f>INDEX(C13:E13,MATCH($B$4,$C$6:$E$6,0))</f>
        <v/>
      </c>
    </row>
    <row r="14">
      <c r="A14" t="inlineStr">
        <is>
          <t>ADR — year 1 (2025)</t>
        </is>
      </c>
      <c r="B14" s="2" t="inlineStr">
        <is>
          <t>€ per occupied room</t>
        </is>
      </c>
      <c r="C14" s="12" t="n">
        <v>113.2207</v>
      </c>
      <c r="D14" s="12" t="n">
        <v>124.54</v>
      </c>
      <c r="E14" s="12" t="n">
        <v>101.9</v>
      </c>
      <c r="F14" s="13">
        <f>INDEX(C14:E14,MATCH($B$4,$C$6:$E$6,0))</f>
        <v/>
      </c>
    </row>
    <row r="15">
      <c r="A15" t="inlineStr">
        <is>
          <t>ADR — year 2 (2026)</t>
        </is>
      </c>
      <c r="B15" s="2" t="inlineStr">
        <is>
          <t>€ per occupied room</t>
        </is>
      </c>
      <c r="C15" s="12" t="n">
        <v>121.9006</v>
      </c>
      <c r="D15" s="12" t="n">
        <v>134.09</v>
      </c>
      <c r="E15" s="12" t="n">
        <v>109.71</v>
      </c>
      <c r="F15" s="13">
        <f>INDEX(C15:E15,MATCH($B$4,$C$6:$E$6,0))</f>
        <v/>
      </c>
    </row>
    <row r="16">
      <c r="A16" t="inlineStr">
        <is>
          <t>ADR — year 3 (2027)</t>
        </is>
      </c>
      <c r="B16" s="2" t="inlineStr">
        <is>
          <t>€ per occupied room</t>
        </is>
      </c>
      <c r="C16" s="12" t="n">
        <v>130.8829</v>
      </c>
      <c r="D16" s="12" t="n">
        <v>143.97</v>
      </c>
      <c r="E16" s="12" t="n">
        <v>117.79</v>
      </c>
      <c r="F16" s="13">
        <f>INDEX(C16:E16,MATCH($B$4,$C$6:$E$6,0))</f>
        <v/>
      </c>
    </row>
    <row r="17">
      <c r="A17" t="inlineStr">
        <is>
          <t>ADR — year 4 (2028) (stabilised level)</t>
        </is>
      </c>
      <c r="B17" s="2" t="inlineStr">
        <is>
          <t>€ per occupied room</t>
        </is>
      </c>
      <c r="C17" s="12" t="n">
        <v>140.5027</v>
      </c>
      <c r="D17" s="12" t="n">
        <v>154.55</v>
      </c>
      <c r="E17" s="12" t="n">
        <v>126.45</v>
      </c>
      <c r="F17" s="13">
        <f>INDEX(C17:E17,MATCH($B$4,$C$6:$E$6,0))</f>
        <v/>
      </c>
    </row>
    <row r="18">
      <c r="A18" t="inlineStr">
        <is>
          <t>Annual growth after stabilisation (inflation)</t>
        </is>
      </c>
      <c r="B18" s="2" t="inlineStr">
        <is>
          <t>% per year, from year 5 (2029)</t>
        </is>
      </c>
      <c r="C18" s="10" t="n">
        <v>0.02</v>
      </c>
      <c r="D18" s="10" t="n">
        <v>0.025</v>
      </c>
      <c r="E18" s="10" t="n">
        <v>0.015</v>
      </c>
      <c r="F18" s="11">
        <f>INDEX(C18:E18,MATCH($B$4,$C$6:$E$6,0))</f>
        <v/>
      </c>
    </row>
    <row r="19">
      <c r="A19" s="6" t="inlineStr">
        <is>
          <t>FOOD &amp; BEVERAGE (all-day bar/restaurant)</t>
        </is>
      </c>
      <c r="B19" s="7" t="n"/>
      <c r="C19" s="7" t="n"/>
      <c r="D19" s="7" t="n"/>
      <c r="E19" s="7" t="n"/>
      <c r="F19" s="7" t="n"/>
    </row>
    <row r="20">
      <c r="A20" t="inlineStr">
        <is>
          <t>F&amp;B revenue — year 1 (2025)</t>
        </is>
      </c>
      <c r="B20" s="2" t="inlineStr">
        <is>
          <t>€ per year</t>
        </is>
      </c>
      <c r="C20" s="14" t="n">
        <v>1045493</v>
      </c>
      <c r="D20" s="14" t="n">
        <v>1202317</v>
      </c>
      <c r="E20" s="14" t="n">
        <v>836394</v>
      </c>
      <c r="F20" s="15">
        <f>INDEX(C20:E20,MATCH($B$4,$C$6:$E$6,0))</f>
        <v/>
      </c>
    </row>
    <row r="21">
      <c r="A21" t="inlineStr">
        <is>
          <t>F&amp;B revenue — year 2 (2026)</t>
        </is>
      </c>
      <c r="B21" s="2" t="inlineStr">
        <is>
          <t>€ per year</t>
        </is>
      </c>
      <c r="C21" s="14" t="n">
        <v>1332401</v>
      </c>
      <c r="D21" s="14" t="n">
        <v>1532261</v>
      </c>
      <c r="E21" s="14" t="n">
        <v>1065921</v>
      </c>
      <c r="F21" s="15">
        <f>INDEX(C21:E21,MATCH($B$4,$C$6:$E$6,0))</f>
        <v/>
      </c>
    </row>
    <row r="22">
      <c r="A22" t="inlineStr">
        <is>
          <t>F&amp;B revenue — year 3 (2027)</t>
        </is>
      </c>
      <c r="B22" s="2" t="inlineStr">
        <is>
          <t>€ per year</t>
        </is>
      </c>
      <c r="C22" s="14" t="n">
        <v>1598479</v>
      </c>
      <c r="D22" s="14" t="n">
        <v>1838251</v>
      </c>
      <c r="E22" s="14" t="n">
        <v>1278783</v>
      </c>
      <c r="F22" s="15">
        <f>INDEX(C22:E22,MATCH($B$4,$C$6:$E$6,0))</f>
        <v/>
      </c>
    </row>
    <row r="23">
      <c r="A23" t="inlineStr">
        <is>
          <t>F&amp;B revenue — year 4 (2028) (stabilised level)</t>
        </is>
      </c>
      <c r="B23" s="2" t="inlineStr">
        <is>
          <t>€ per year</t>
        </is>
      </c>
      <c r="C23" s="14" t="n">
        <v>1811423</v>
      </c>
      <c r="D23" s="14" t="n">
        <v>2083136</v>
      </c>
      <c r="E23" s="14" t="n">
        <v>1449138</v>
      </c>
      <c r="F23" s="15">
        <f>INDEX(C23:E23,MATCH($B$4,$C$6:$E$6,0))</f>
        <v/>
      </c>
    </row>
    <row r="24">
      <c r="A24" s="6" t="inlineStr">
        <is>
          <t>DEPARTMENTAL COSTS</t>
        </is>
      </c>
      <c r="B24" s="7" t="n"/>
      <c r="C24" s="7" t="n"/>
      <c r="D24" s="7" t="n"/>
      <c r="E24" s="7" t="n"/>
      <c r="F24" s="7" t="n"/>
    </row>
    <row r="25">
      <c r="A25" t="inlineStr">
        <is>
          <t>Rooms dept. cost — year 1</t>
        </is>
      </c>
      <c r="B25" s="2" t="inlineStr">
        <is>
          <t>% of room revenue</t>
        </is>
      </c>
      <c r="C25" s="16" t="n">
        <v>0.122845</v>
      </c>
      <c r="D25" s="16" t="n">
        <v>0.122845</v>
      </c>
      <c r="E25" s="16" t="n">
        <v>0.122845</v>
      </c>
      <c r="F25" s="17">
        <f>INDEX(C25:E25,MATCH($B$4,$C$6:$E$6,0))</f>
        <v/>
      </c>
    </row>
    <row r="26">
      <c r="A26" t="inlineStr">
        <is>
          <t>Rooms dept. cost — year 2</t>
        </is>
      </c>
      <c r="B26" s="2" t="inlineStr">
        <is>
          <t>% of room revenue</t>
        </is>
      </c>
      <c r="C26" s="16" t="n">
        <v>0.119645</v>
      </c>
      <c r="D26" s="16" t="n">
        <v>0.119645</v>
      </c>
      <c r="E26" s="16" t="n">
        <v>0.119645</v>
      </c>
      <c r="F26" s="17">
        <f>INDEX(C26:E26,MATCH($B$4,$C$6:$E$6,0))</f>
        <v/>
      </c>
    </row>
    <row r="27">
      <c r="A27" t="inlineStr">
        <is>
          <t>Rooms dept. cost — year 3</t>
        </is>
      </c>
      <c r="B27" s="2" t="inlineStr">
        <is>
          <t>% of room revenue</t>
        </is>
      </c>
      <c r="C27" s="16" t="n">
        <v>0.11676</v>
      </c>
      <c r="D27" s="16" t="n">
        <v>0.11676</v>
      </c>
      <c r="E27" s="16" t="n">
        <v>0.11676</v>
      </c>
      <c r="F27" s="17">
        <f>INDEX(C27:E27,MATCH($B$4,$C$6:$E$6,0))</f>
        <v/>
      </c>
    </row>
    <row r="28">
      <c r="A28" t="inlineStr">
        <is>
          <t>Rooms dept. cost — year 4 and after</t>
        </is>
      </c>
      <c r="B28" s="2" t="inlineStr">
        <is>
          <t>% of room revenue</t>
        </is>
      </c>
      <c r="C28" s="16" t="n">
        <v>0.114023</v>
      </c>
      <c r="D28" s="16" t="n">
        <v>0.114023</v>
      </c>
      <c r="E28" s="16" t="n">
        <v>0.114023</v>
      </c>
      <c r="F28" s="17">
        <f>INDEX(C28:E28,MATCH($B$4,$C$6:$E$6,0))</f>
        <v/>
      </c>
    </row>
    <row r="29">
      <c r="A29" t="inlineStr">
        <is>
          <t>F&amp;B dept. cost</t>
        </is>
      </c>
      <c r="B29" s="2" t="inlineStr">
        <is>
          <t>% of F&amp;B revenue</t>
        </is>
      </c>
      <c r="C29" s="10" t="n">
        <v>0.375</v>
      </c>
      <c r="D29" s="10" t="n">
        <v>0.36</v>
      </c>
      <c r="E29" s="10" t="n">
        <v>0.4</v>
      </c>
      <c r="F29" s="11">
        <f>INDEX(C29:E29,MATCH($B$4,$C$6:$E$6,0))</f>
        <v/>
      </c>
    </row>
    <row r="30">
      <c r="A30" t="inlineStr">
        <is>
          <t>Staff cost — year 1 (32 FTEs, all departments)</t>
        </is>
      </c>
      <c r="B30" s="2" t="inlineStr">
        <is>
          <t>€ per year, grows with inflation</t>
        </is>
      </c>
      <c r="C30" s="14" t="n">
        <v>533868</v>
      </c>
      <c r="D30" s="14" t="n">
        <v>533868</v>
      </c>
      <c r="E30" s="14" t="n">
        <v>560561</v>
      </c>
      <c r="F30" s="15">
        <f>INDEX(C30:E30,MATCH($B$4,$C$6:$E$6,0))</f>
        <v/>
      </c>
    </row>
    <row r="31">
      <c r="A31" s="6" t="inlineStr">
        <is>
          <t>UNDISTRIBUTED OPERATING EXPENSES</t>
        </is>
      </c>
      <c r="B31" s="7" t="n"/>
      <c r="C31" s="7" t="n"/>
      <c r="D31" s="7" t="n"/>
      <c r="E31" s="7" t="n"/>
      <c r="F31" s="7" t="n"/>
    </row>
    <row r="32">
      <c r="A32" t="inlineStr">
        <is>
          <t>Administrative &amp; general — fixed part, year 1</t>
        </is>
      </c>
      <c r="B32" s="2" t="inlineStr">
        <is>
          <t>€ per year, grows with inflation</t>
        </is>
      </c>
      <c r="C32" s="14" t="n">
        <v>82211.98</v>
      </c>
      <c r="D32" s="14" t="n">
        <v>82211.98</v>
      </c>
      <c r="E32" s="14" t="n">
        <v>82211.98</v>
      </c>
      <c r="F32" s="15">
        <f>INDEX(C32:E32,MATCH($B$4,$C$6:$E$6,0))</f>
        <v/>
      </c>
    </row>
    <row r="33">
      <c r="A33" t="inlineStr">
        <is>
          <t>Administrative &amp; general — variable part</t>
        </is>
      </c>
      <c r="B33" s="2" t="inlineStr">
        <is>
          <t>% of total revenue</t>
        </is>
      </c>
      <c r="C33" s="10" t="n">
        <v>0.02</v>
      </c>
      <c r="D33" s="10" t="n">
        <v>0.02</v>
      </c>
      <c r="E33" s="10" t="n">
        <v>0.02</v>
      </c>
      <c r="F33" s="11">
        <f>INDEX(C33:E33,MATCH($B$4,$C$6:$E$6,0))</f>
        <v/>
      </c>
    </row>
    <row r="34">
      <c r="A34" t="inlineStr">
        <is>
          <t>Marketing</t>
        </is>
      </c>
      <c r="B34" s="2" t="inlineStr">
        <is>
          <t>% of total revenue</t>
        </is>
      </c>
      <c r="C34" s="10" t="n">
        <v>0.03</v>
      </c>
      <c r="D34" s="10" t="n">
        <v>0.03</v>
      </c>
      <c r="E34" s="10" t="n">
        <v>0.03</v>
      </c>
      <c r="F34" s="11">
        <f>INDEX(C34:E34,MATCH($B$4,$C$6:$E$6,0))</f>
        <v/>
      </c>
    </row>
    <row r="35">
      <c r="A35" t="inlineStr">
        <is>
          <t>Property operations &amp; maintenance</t>
        </is>
      </c>
      <c r="B35" s="2" t="inlineStr">
        <is>
          <t>% of total revenue</t>
        </is>
      </c>
      <c r="C35" s="10" t="n">
        <v>0.03</v>
      </c>
      <c r="D35" s="10" t="n">
        <v>0.03</v>
      </c>
      <c r="E35" s="10" t="n">
        <v>0.03</v>
      </c>
      <c r="F35" s="11">
        <f>INDEX(C35:E35,MATCH($B$4,$C$6:$E$6,0))</f>
        <v/>
      </c>
    </row>
    <row r="36">
      <c r="A36" t="inlineStr">
        <is>
          <t>Utility costs</t>
        </is>
      </c>
      <c r="B36" s="2" t="inlineStr">
        <is>
          <t>% of total revenue</t>
        </is>
      </c>
      <c r="C36" s="10" t="n">
        <v>0.045</v>
      </c>
      <c r="D36" s="10" t="n">
        <v>0.045</v>
      </c>
      <c r="E36" s="10" t="n">
        <v>0.045</v>
      </c>
      <c r="F36" s="11">
        <f>INDEX(C36:E36,MATCH($B$4,$C$6:$E$6,0))</f>
        <v/>
      </c>
    </row>
    <row r="37">
      <c r="A37" s="6" t="inlineStr">
        <is>
          <t>FIXED CHARGES</t>
        </is>
      </c>
      <c r="B37" s="7" t="n"/>
      <c r="C37" s="7" t="n"/>
      <c r="D37" s="7" t="n"/>
      <c r="E37" s="7" t="n"/>
      <c r="F37" s="7" t="n"/>
    </row>
    <row r="38">
      <c r="A38" t="inlineStr">
        <is>
          <t>Annual rent — tier 1 (from 2024)</t>
        </is>
      </c>
      <c r="B38" s="2" t="inlineStr">
        <is>
          <t>€ per year</t>
        </is>
      </c>
      <c r="C38" s="14" t="n">
        <v>15000</v>
      </c>
      <c r="D38" s="14" t="n">
        <v>15000</v>
      </c>
      <c r="E38" s="14" t="n">
        <v>15000</v>
      </c>
      <c r="F38" s="15">
        <f>INDEX(C38:E38,MATCH($B$4,$C$6:$E$6,0))</f>
        <v/>
      </c>
    </row>
    <row r="39">
      <c r="A39" t="inlineStr">
        <is>
          <t>Rent tier 2 starts in</t>
        </is>
      </c>
      <c r="B39" s="2" t="inlineStr">
        <is>
          <t>year</t>
        </is>
      </c>
      <c r="C39" s="8" t="n">
        <v>2030</v>
      </c>
      <c r="D39" s="8" t="n">
        <v>2030</v>
      </c>
      <c r="E39" s="8" t="n">
        <v>2030</v>
      </c>
      <c r="F39" s="9">
        <f>INDEX(C39:E39,MATCH($B$4,$C$6:$E$6,0))</f>
        <v/>
      </c>
    </row>
    <row r="40">
      <c r="A40" t="inlineStr">
        <is>
          <t>Annual rent — tier 2</t>
        </is>
      </c>
      <c r="B40" s="2" t="inlineStr">
        <is>
          <t>€ per year</t>
        </is>
      </c>
      <c r="C40" s="14" t="n">
        <v>21000</v>
      </c>
      <c r="D40" s="14" t="n">
        <v>21000</v>
      </c>
      <c r="E40" s="14" t="n">
        <v>21000</v>
      </c>
      <c r="F40" s="15">
        <f>INDEX(C40:E40,MATCH($B$4,$C$6:$E$6,0))</f>
        <v/>
      </c>
    </row>
    <row r="41">
      <c r="A41" t="inlineStr">
        <is>
          <t>Rent tier 3 starts in</t>
        </is>
      </c>
      <c r="B41" s="2" t="inlineStr">
        <is>
          <t>year</t>
        </is>
      </c>
      <c r="C41" s="8" t="n">
        <v>2035</v>
      </c>
      <c r="D41" s="8" t="n">
        <v>2035</v>
      </c>
      <c r="E41" s="8" t="n">
        <v>2035</v>
      </c>
      <c r="F41" s="9">
        <f>INDEX(C41:E41,MATCH($B$4,$C$6:$E$6,0))</f>
        <v/>
      </c>
    </row>
    <row r="42">
      <c r="A42" t="inlineStr">
        <is>
          <t>Annual rent — tier 3 (implied by the PDF's 2044 NOI and NPV)</t>
        </is>
      </c>
      <c r="B42" s="2" t="inlineStr">
        <is>
          <t>€ per year</t>
        </is>
      </c>
      <c r="C42" s="14" t="n">
        <v>90000</v>
      </c>
      <c r="D42" s="14" t="n">
        <v>90000</v>
      </c>
      <c r="E42" s="14" t="n">
        <v>90000</v>
      </c>
      <c r="F42" s="15">
        <f>INDEX(C42:E42,MATCH($B$4,$C$6:$E$6,0))</f>
        <v/>
      </c>
    </row>
    <row r="43">
      <c r="A43" t="inlineStr">
        <is>
          <t>Reserve for replacement — year 1</t>
        </is>
      </c>
      <c r="B43" s="2" t="inlineStr">
        <is>
          <t>% of total revenue</t>
        </is>
      </c>
      <c r="C43" s="10" t="n">
        <v>0.01</v>
      </c>
      <c r="D43" s="10" t="n">
        <v>0.01</v>
      </c>
      <c r="E43" s="10" t="n">
        <v>0.01</v>
      </c>
      <c r="F43" s="11">
        <f>INDEX(C43:E43,MATCH($B$4,$C$6:$E$6,0))</f>
        <v/>
      </c>
    </row>
    <row r="44">
      <c r="A44" t="inlineStr">
        <is>
          <t>Reserve for replacement — year 2 onwards</t>
        </is>
      </c>
      <c r="B44" s="2" t="inlineStr">
        <is>
          <t>% of total revenue</t>
        </is>
      </c>
      <c r="C44" s="10" t="n">
        <v>0.02</v>
      </c>
      <c r="D44" s="10" t="n">
        <v>0.02</v>
      </c>
      <c r="E44" s="10" t="n">
        <v>0.02</v>
      </c>
      <c r="F44" s="11">
        <f>INDEX(C44:E44,MATCH($B$4,$C$6:$E$6,0))</f>
        <v/>
      </c>
    </row>
    <row r="45">
      <c r="A45" s="6" t="inlineStr">
        <is>
          <t>INVESTMENT &amp; RETURNS</t>
        </is>
      </c>
      <c r="B45" s="7" t="n"/>
      <c r="C45" s="7" t="n"/>
      <c r="D45" s="7" t="n"/>
      <c r="E45" s="7" t="n"/>
      <c r="F45" s="7" t="n"/>
    </row>
    <row r="46">
      <c r="A46" t="inlineStr">
        <is>
          <t>CAPEX (excl. VAT)</t>
        </is>
      </c>
      <c r="B46" s="2" t="inlineStr">
        <is>
          <t>€</t>
        </is>
      </c>
      <c r="C46" s="14" t="n">
        <v>1500000</v>
      </c>
      <c r="D46" s="14" t="n">
        <v>1400000</v>
      </c>
      <c r="E46" s="14" t="n">
        <v>1800000</v>
      </c>
      <c r="F46" s="15">
        <f>INDEX(C46:E46,MATCH($B$4,$C$6:$E$6,0))</f>
        <v/>
      </c>
    </row>
    <row r="47">
      <c r="A47" t="inlineStr">
        <is>
          <t>Pre-opening expenses (excl. VAT)</t>
        </is>
      </c>
      <c r="B47" s="2" t="inlineStr">
        <is>
          <t>€</t>
        </is>
      </c>
      <c r="C47" s="14" t="n">
        <v>100000</v>
      </c>
      <c r="D47" s="14" t="n">
        <v>100000</v>
      </c>
      <c r="E47" s="14" t="n">
        <v>100000</v>
      </c>
      <c r="F47" s="15">
        <f>INDEX(C47:E47,MATCH($B$4,$C$6:$E$6,0))</f>
        <v/>
      </c>
    </row>
    <row r="48">
      <c r="A48" t="inlineStr">
        <is>
          <t>VAT rate on CAPEX &amp; pre-opening</t>
        </is>
      </c>
      <c r="B48" s="2" t="inlineStr">
        <is>
          <t>%</t>
        </is>
      </c>
      <c r="C48" s="10" t="n">
        <v>0.24</v>
      </c>
      <c r="D48" s="10" t="n">
        <v>0.24</v>
      </c>
      <c r="E48" s="10" t="n">
        <v>0.24</v>
      </c>
      <c r="F48" s="11">
        <f>INDEX(C48:E48,MATCH($B$4,$C$6:$E$6,0))</f>
        <v/>
      </c>
    </row>
    <row r="49">
      <c r="A49" t="inlineStr">
        <is>
          <t>CAPEX grant (% of CAPEX excl. VAT, received 2025)</t>
        </is>
      </c>
      <c r="B49" s="2" t="inlineStr">
        <is>
          <t>plan mentions applying for 60-75%</t>
        </is>
      </c>
      <c r="C49" s="10" t="n">
        <v>0</v>
      </c>
      <c r="D49" s="10" t="n">
        <v>0.6</v>
      </c>
      <c r="E49" s="10" t="n">
        <v>0</v>
      </c>
      <c r="F49" s="11">
        <f>INDEX(C49:E49,MATCH($B$4,$C$6:$E$6,0))</f>
        <v/>
      </c>
    </row>
    <row r="50">
      <c r="A50" t="inlineStr">
        <is>
          <t>Discount rate for NPV</t>
        </is>
      </c>
      <c r="B50" s="2" t="inlineStr">
        <is>
          <t>% per year</t>
        </is>
      </c>
      <c r="C50" s="10" t="n">
        <v>0.1</v>
      </c>
      <c r="D50" s="10" t="n">
        <v>0.1</v>
      </c>
      <c r="E50" s="10" t="n">
        <v>0.1</v>
      </c>
      <c r="F50" s="11">
        <f>INDEX(C50:E50,MATCH($B$4,$C$6:$E$6,0))</f>
        <v/>
      </c>
    </row>
  </sheetData>
  <dataValidations count="1">
    <dataValidation sqref="B4" showDropDown="0" showInputMessage="0" showErrorMessage="0" allowBlank="0" type="list">
      <formula1>"Base,Upside,Downside"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</cols>
  <sheetData>
    <row r="1">
      <c r="A1" s="1" t="inlineStr">
        <is>
          <t>Operating model — P&amp;L forecast (nominal €)</t>
        </is>
      </c>
    </row>
    <row r="2">
      <c r="A2" s="2" t="inlineStr">
        <is>
          <t>All cells are formulas driven by the Inputs sheet. Years 1-4 (2025-2028) are the ramp-up; from year 5 revenue and cost lines grow at the inflation input. Layout mirrors pages 9-10 of the PDF, extended to 2044 for the returns calculation.</t>
        </is>
      </c>
    </row>
    <row r="3">
      <c r="A3" s="5" t="inlineStr">
        <is>
          <t>Year</t>
        </is>
      </c>
      <c r="B3" s="18" t="n">
        <v>2025</v>
      </c>
      <c r="C3" s="18" t="n">
        <v>2026</v>
      </c>
      <c r="D3" s="18" t="n">
        <v>2027</v>
      </c>
      <c r="E3" s="18" t="n">
        <v>2028</v>
      </c>
      <c r="F3" s="18" t="n">
        <v>2029</v>
      </c>
      <c r="G3" s="18" t="n">
        <v>2030</v>
      </c>
      <c r="H3" s="18" t="n">
        <v>2031</v>
      </c>
      <c r="I3" s="18" t="n">
        <v>2032</v>
      </c>
      <c r="J3" s="18" t="n">
        <v>2033</v>
      </c>
      <c r="K3" s="18" t="n">
        <v>2034</v>
      </c>
      <c r="L3" s="18" t="n">
        <v>2035</v>
      </c>
      <c r="M3" s="18" t="n">
        <v>2036</v>
      </c>
      <c r="N3" s="18" t="n">
        <v>2037</v>
      </c>
      <c r="O3" s="18" t="n">
        <v>2038</v>
      </c>
      <c r="P3" s="18" t="n">
        <v>2039</v>
      </c>
      <c r="Q3" s="18" t="n">
        <v>2040</v>
      </c>
      <c r="R3" s="18" t="n">
        <v>2041</v>
      </c>
      <c r="S3" s="18" t="n">
        <v>2042</v>
      </c>
      <c r="T3" s="18" t="n">
        <v>2043</v>
      </c>
      <c r="U3" s="18" t="n">
        <v>2044</v>
      </c>
    </row>
    <row r="4">
      <c r="A4" s="6" t="inlineStr">
        <is>
          <t>ACCOMMODATION — KEY INDICATORS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</row>
    <row r="5">
      <c r="A5" t="inlineStr">
        <is>
          <t>Number of rooms</t>
        </is>
      </c>
      <c r="B5" s="19">
        <f>Inputs!$F$8</f>
        <v/>
      </c>
      <c r="C5" s="19">
        <f>Inputs!$F$8</f>
        <v/>
      </c>
      <c r="D5" s="19">
        <f>Inputs!$F$8</f>
        <v/>
      </c>
      <c r="E5" s="19">
        <f>Inputs!$F$8</f>
        <v/>
      </c>
      <c r="F5" s="19">
        <f>Inputs!$F$8</f>
        <v/>
      </c>
      <c r="G5" s="19">
        <f>Inputs!$F$8</f>
        <v/>
      </c>
      <c r="H5" s="19">
        <f>Inputs!$F$8</f>
        <v/>
      </c>
      <c r="I5" s="19">
        <f>Inputs!$F$8</f>
        <v/>
      </c>
      <c r="J5" s="19">
        <f>Inputs!$F$8</f>
        <v/>
      </c>
      <c r="K5" s="19">
        <f>Inputs!$F$8</f>
        <v/>
      </c>
      <c r="L5" s="19">
        <f>Inputs!$F$8</f>
        <v/>
      </c>
      <c r="M5" s="19">
        <f>Inputs!$F$8</f>
        <v/>
      </c>
      <c r="N5" s="19">
        <f>Inputs!$F$8</f>
        <v/>
      </c>
      <c r="O5" s="19">
        <f>Inputs!$F$8</f>
        <v/>
      </c>
      <c r="P5" s="19">
        <f>Inputs!$F$8</f>
        <v/>
      </c>
      <c r="Q5" s="19">
        <f>Inputs!$F$8</f>
        <v/>
      </c>
      <c r="R5" s="19">
        <f>Inputs!$F$8</f>
        <v/>
      </c>
      <c r="S5" s="19">
        <f>Inputs!$F$8</f>
        <v/>
      </c>
      <c r="T5" s="19">
        <f>Inputs!$F$8</f>
        <v/>
      </c>
      <c r="U5" s="19">
        <f>Inputs!$F$8</f>
        <v/>
      </c>
    </row>
    <row r="6">
      <c r="A6" t="inlineStr">
        <is>
          <t>Operating days</t>
        </is>
      </c>
      <c r="B6" s="19">
        <f>Inputs!$F$9</f>
        <v/>
      </c>
      <c r="C6" s="19">
        <f>Inputs!$F$9</f>
        <v/>
      </c>
      <c r="D6" s="19">
        <f>Inputs!$F$9</f>
        <v/>
      </c>
      <c r="E6" s="19">
        <f>Inputs!$F$9</f>
        <v/>
      </c>
      <c r="F6" s="19">
        <f>Inputs!$F$9</f>
        <v/>
      </c>
      <c r="G6" s="19">
        <f>Inputs!$F$9</f>
        <v/>
      </c>
      <c r="H6" s="19">
        <f>Inputs!$F$9</f>
        <v/>
      </c>
      <c r="I6" s="19">
        <f>Inputs!$F$9</f>
        <v/>
      </c>
      <c r="J6" s="19">
        <f>Inputs!$F$9</f>
        <v/>
      </c>
      <c r="K6" s="19">
        <f>Inputs!$F$9</f>
        <v/>
      </c>
      <c r="L6" s="19">
        <f>Inputs!$F$9</f>
        <v/>
      </c>
      <c r="M6" s="19">
        <f>Inputs!$F$9</f>
        <v/>
      </c>
      <c r="N6" s="19">
        <f>Inputs!$F$9</f>
        <v/>
      </c>
      <c r="O6" s="19">
        <f>Inputs!$F$9</f>
        <v/>
      </c>
      <c r="P6" s="19">
        <f>Inputs!$F$9</f>
        <v/>
      </c>
      <c r="Q6" s="19">
        <f>Inputs!$F$9</f>
        <v/>
      </c>
      <c r="R6" s="19">
        <f>Inputs!$F$9</f>
        <v/>
      </c>
      <c r="S6" s="19">
        <f>Inputs!$F$9</f>
        <v/>
      </c>
      <c r="T6" s="19">
        <f>Inputs!$F$9</f>
        <v/>
      </c>
      <c r="U6" s="19">
        <f>Inputs!$F$9</f>
        <v/>
      </c>
    </row>
    <row r="7">
      <c r="A7" t="inlineStr">
        <is>
          <t>Available room nights</t>
        </is>
      </c>
      <c r="B7" s="20">
        <f>B5*B6</f>
        <v/>
      </c>
      <c r="C7" s="20">
        <f>C5*C6</f>
        <v/>
      </c>
      <c r="D7" s="20">
        <f>D5*D6</f>
        <v/>
      </c>
      <c r="E7" s="20">
        <f>E5*E6</f>
        <v/>
      </c>
      <c r="F7" s="20">
        <f>F5*F6</f>
        <v/>
      </c>
      <c r="G7" s="20">
        <f>G5*G6</f>
        <v/>
      </c>
      <c r="H7" s="20">
        <f>H5*H6</f>
        <v/>
      </c>
      <c r="I7" s="20">
        <f>I5*I6</f>
        <v/>
      </c>
      <c r="J7" s="20">
        <f>J5*J6</f>
        <v/>
      </c>
      <c r="K7" s="20">
        <f>K5*K6</f>
        <v/>
      </c>
      <c r="L7" s="20">
        <f>L5*L6</f>
        <v/>
      </c>
      <c r="M7" s="20">
        <f>M5*M6</f>
        <v/>
      </c>
      <c r="N7" s="20">
        <f>N5*N6</f>
        <v/>
      </c>
      <c r="O7" s="20">
        <f>O5*O6</f>
        <v/>
      </c>
      <c r="P7" s="20">
        <f>P5*P6</f>
        <v/>
      </c>
      <c r="Q7" s="20">
        <f>Q5*Q6</f>
        <v/>
      </c>
      <c r="R7" s="20">
        <f>R5*R6</f>
        <v/>
      </c>
      <c r="S7" s="20">
        <f>S5*S6</f>
        <v/>
      </c>
      <c r="T7" s="20">
        <f>T5*T6</f>
        <v/>
      </c>
      <c r="U7" s="20">
        <f>U5*U6</f>
        <v/>
      </c>
    </row>
    <row r="8">
      <c r="A8" t="inlineStr">
        <is>
          <t>Occupancy</t>
        </is>
      </c>
      <c r="B8" s="21">
        <f>Inputs!$F$10</f>
        <v/>
      </c>
      <c r="C8" s="21">
        <f>Inputs!$F$11</f>
        <v/>
      </c>
      <c r="D8" s="21">
        <f>Inputs!$F$12</f>
        <v/>
      </c>
      <c r="E8" s="21">
        <f>Inputs!$F$13</f>
        <v/>
      </c>
      <c r="F8" s="21">
        <f>Inputs!$F$13</f>
        <v/>
      </c>
      <c r="G8" s="21">
        <f>Inputs!$F$13</f>
        <v/>
      </c>
      <c r="H8" s="21">
        <f>Inputs!$F$13</f>
        <v/>
      </c>
      <c r="I8" s="21">
        <f>Inputs!$F$13</f>
        <v/>
      </c>
      <c r="J8" s="21">
        <f>Inputs!$F$13</f>
        <v/>
      </c>
      <c r="K8" s="21">
        <f>Inputs!$F$13</f>
        <v/>
      </c>
      <c r="L8" s="21">
        <f>Inputs!$F$13</f>
        <v/>
      </c>
      <c r="M8" s="21">
        <f>Inputs!$F$13</f>
        <v/>
      </c>
      <c r="N8" s="21">
        <f>Inputs!$F$13</f>
        <v/>
      </c>
      <c r="O8" s="21">
        <f>Inputs!$F$13</f>
        <v/>
      </c>
      <c r="P8" s="21">
        <f>Inputs!$F$13</f>
        <v/>
      </c>
      <c r="Q8" s="21">
        <f>Inputs!$F$13</f>
        <v/>
      </c>
      <c r="R8" s="21">
        <f>Inputs!$F$13</f>
        <v/>
      </c>
      <c r="S8" s="21">
        <f>Inputs!$F$13</f>
        <v/>
      </c>
      <c r="T8" s="21">
        <f>Inputs!$F$13</f>
        <v/>
      </c>
      <c r="U8" s="21">
        <f>Inputs!$F$13</f>
        <v/>
      </c>
    </row>
    <row r="9">
      <c r="A9" t="inlineStr">
        <is>
          <t>Occupied room nights</t>
        </is>
      </c>
      <c r="B9" s="20">
        <f>B7*B8</f>
        <v/>
      </c>
      <c r="C9" s="20">
        <f>C7*C8</f>
        <v/>
      </c>
      <c r="D9" s="20">
        <f>D7*D8</f>
        <v/>
      </c>
      <c r="E9" s="20">
        <f>E7*E8</f>
        <v/>
      </c>
      <c r="F9" s="20">
        <f>F7*F8</f>
        <v/>
      </c>
      <c r="G9" s="20">
        <f>G7*G8</f>
        <v/>
      </c>
      <c r="H9" s="20">
        <f>H7*H8</f>
        <v/>
      </c>
      <c r="I9" s="20">
        <f>I7*I8</f>
        <v/>
      </c>
      <c r="J9" s="20">
        <f>J7*J8</f>
        <v/>
      </c>
      <c r="K9" s="20">
        <f>K7*K8</f>
        <v/>
      </c>
      <c r="L9" s="20">
        <f>L7*L8</f>
        <v/>
      </c>
      <c r="M9" s="20">
        <f>M7*M8</f>
        <v/>
      </c>
      <c r="N9" s="20">
        <f>N7*N8</f>
        <v/>
      </c>
      <c r="O9" s="20">
        <f>O7*O8</f>
        <v/>
      </c>
      <c r="P9" s="20">
        <f>P7*P8</f>
        <v/>
      </c>
      <c r="Q9" s="20">
        <f>Q7*Q8</f>
        <v/>
      </c>
      <c r="R9" s="20">
        <f>R7*R8</f>
        <v/>
      </c>
      <c r="S9" s="20">
        <f>S7*S8</f>
        <v/>
      </c>
      <c r="T9" s="20">
        <f>T7*T8</f>
        <v/>
      </c>
      <c r="U9" s="20">
        <f>U7*U8</f>
        <v/>
      </c>
    </row>
    <row r="10">
      <c r="A10" t="inlineStr">
        <is>
          <t>ADR</t>
        </is>
      </c>
      <c r="B10" s="22">
        <f>Inputs!$F$14</f>
        <v/>
      </c>
      <c r="C10" s="22">
        <f>Inputs!$F$15</f>
        <v/>
      </c>
      <c r="D10" s="22">
        <f>Inputs!$F$16</f>
        <v/>
      </c>
      <c r="E10" s="22">
        <f>Inputs!$F$17</f>
        <v/>
      </c>
      <c r="F10" s="22">
        <f>E10*(1+Inputs!$F$18)</f>
        <v/>
      </c>
      <c r="G10" s="22">
        <f>F10*(1+Inputs!$F$18)</f>
        <v/>
      </c>
      <c r="H10" s="22">
        <f>G10*(1+Inputs!$F$18)</f>
        <v/>
      </c>
      <c r="I10" s="22">
        <f>H10*(1+Inputs!$F$18)</f>
        <v/>
      </c>
      <c r="J10" s="22">
        <f>I10*(1+Inputs!$F$18)</f>
        <v/>
      </c>
      <c r="K10" s="22">
        <f>J10*(1+Inputs!$F$18)</f>
        <v/>
      </c>
      <c r="L10" s="22">
        <f>K10*(1+Inputs!$F$18)</f>
        <v/>
      </c>
      <c r="M10" s="22">
        <f>L10*(1+Inputs!$F$18)</f>
        <v/>
      </c>
      <c r="N10" s="22">
        <f>M10*(1+Inputs!$F$18)</f>
        <v/>
      </c>
      <c r="O10" s="22">
        <f>N10*(1+Inputs!$F$18)</f>
        <v/>
      </c>
      <c r="P10" s="22">
        <f>O10*(1+Inputs!$F$18)</f>
        <v/>
      </c>
      <c r="Q10" s="22">
        <f>P10*(1+Inputs!$F$18)</f>
        <v/>
      </c>
      <c r="R10" s="22">
        <f>Q10*(1+Inputs!$F$18)</f>
        <v/>
      </c>
      <c r="S10" s="22">
        <f>R10*(1+Inputs!$F$18)</f>
        <v/>
      </c>
      <c r="T10" s="22">
        <f>S10*(1+Inputs!$F$18)</f>
        <v/>
      </c>
      <c r="U10" s="22">
        <f>T10*(1+Inputs!$F$18)</f>
        <v/>
      </c>
    </row>
    <row r="11">
      <c r="A11" t="inlineStr">
        <is>
          <t>RevPAR</t>
        </is>
      </c>
      <c r="B11" s="22">
        <f>B8*B10</f>
        <v/>
      </c>
      <c r="C11" s="22">
        <f>C8*C10</f>
        <v/>
      </c>
      <c r="D11" s="22">
        <f>D8*D10</f>
        <v/>
      </c>
      <c r="E11" s="22">
        <f>E8*E10</f>
        <v/>
      </c>
      <c r="F11" s="22">
        <f>F8*F10</f>
        <v/>
      </c>
      <c r="G11" s="22">
        <f>G8*G10</f>
        <v/>
      </c>
      <c r="H11" s="22">
        <f>H8*H10</f>
        <v/>
      </c>
      <c r="I11" s="22">
        <f>I8*I10</f>
        <v/>
      </c>
      <c r="J11" s="22">
        <f>J8*J10</f>
        <v/>
      </c>
      <c r="K11" s="22">
        <f>K8*K10</f>
        <v/>
      </c>
      <c r="L11" s="22">
        <f>L8*L10</f>
        <v/>
      </c>
      <c r="M11" s="22">
        <f>M8*M10</f>
        <v/>
      </c>
      <c r="N11" s="22">
        <f>N8*N10</f>
        <v/>
      </c>
      <c r="O11" s="22">
        <f>O8*O10</f>
        <v/>
      </c>
      <c r="P11" s="22">
        <f>P8*P10</f>
        <v/>
      </c>
      <c r="Q11" s="22">
        <f>Q8*Q10</f>
        <v/>
      </c>
      <c r="R11" s="22">
        <f>R8*R10</f>
        <v/>
      </c>
      <c r="S11" s="22">
        <f>S8*S10</f>
        <v/>
      </c>
      <c r="T11" s="22">
        <f>T8*T10</f>
        <v/>
      </c>
      <c r="U11" s="22">
        <f>U8*U10</f>
        <v/>
      </c>
    </row>
    <row r="12">
      <c r="A12" s="6" t="inlineStr">
        <is>
          <t>REVENUE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</row>
    <row r="13">
      <c r="A13" t="inlineStr">
        <is>
          <t>Room revenue</t>
        </is>
      </c>
      <c r="B13" s="20">
        <f>B9*B10</f>
        <v/>
      </c>
      <c r="C13" s="20">
        <f>C9*C10</f>
        <v/>
      </c>
      <c r="D13" s="20">
        <f>D9*D10</f>
        <v/>
      </c>
      <c r="E13" s="20">
        <f>E9*E10</f>
        <v/>
      </c>
      <c r="F13" s="20">
        <f>F9*F10</f>
        <v/>
      </c>
      <c r="G13" s="20">
        <f>G9*G10</f>
        <v/>
      </c>
      <c r="H13" s="20">
        <f>H9*H10</f>
        <v/>
      </c>
      <c r="I13" s="20">
        <f>I9*I10</f>
        <v/>
      </c>
      <c r="J13" s="20">
        <f>J9*J10</f>
        <v/>
      </c>
      <c r="K13" s="20">
        <f>K9*K10</f>
        <v/>
      </c>
      <c r="L13" s="20">
        <f>L9*L10</f>
        <v/>
      </c>
      <c r="M13" s="20">
        <f>M9*M10</f>
        <v/>
      </c>
      <c r="N13" s="20">
        <f>N9*N10</f>
        <v/>
      </c>
      <c r="O13" s="20">
        <f>O9*O10</f>
        <v/>
      </c>
      <c r="P13" s="20">
        <f>P9*P10</f>
        <v/>
      </c>
      <c r="Q13" s="20">
        <f>Q9*Q10</f>
        <v/>
      </c>
      <c r="R13" s="20">
        <f>R9*R10</f>
        <v/>
      </c>
      <c r="S13" s="20">
        <f>S9*S10</f>
        <v/>
      </c>
      <c r="T13" s="20">
        <f>T9*T10</f>
        <v/>
      </c>
      <c r="U13" s="20">
        <f>U9*U10</f>
        <v/>
      </c>
    </row>
    <row r="14">
      <c r="A14" t="inlineStr">
        <is>
          <t>Food &amp; Beverages (all-day bar/restaurant)</t>
        </is>
      </c>
      <c r="B14" s="20">
        <f>Inputs!$F$20</f>
        <v/>
      </c>
      <c r="C14" s="20">
        <f>Inputs!$F$21</f>
        <v/>
      </c>
      <c r="D14" s="20">
        <f>Inputs!$F$22</f>
        <v/>
      </c>
      <c r="E14" s="20">
        <f>Inputs!$F$23</f>
        <v/>
      </c>
      <c r="F14" s="20">
        <f>E14*(1+Inputs!$F$18)</f>
        <v/>
      </c>
      <c r="G14" s="20">
        <f>F14*(1+Inputs!$F$18)</f>
        <v/>
      </c>
      <c r="H14" s="20">
        <f>G14*(1+Inputs!$F$18)</f>
        <v/>
      </c>
      <c r="I14" s="20">
        <f>H14*(1+Inputs!$F$18)</f>
        <v/>
      </c>
      <c r="J14" s="20">
        <f>I14*(1+Inputs!$F$18)</f>
        <v/>
      </c>
      <c r="K14" s="20">
        <f>J14*(1+Inputs!$F$18)</f>
        <v/>
      </c>
      <c r="L14" s="20">
        <f>K14*(1+Inputs!$F$18)</f>
        <v/>
      </c>
      <c r="M14" s="20">
        <f>L14*(1+Inputs!$F$18)</f>
        <v/>
      </c>
      <c r="N14" s="20">
        <f>M14*(1+Inputs!$F$18)</f>
        <v/>
      </c>
      <c r="O14" s="20">
        <f>N14*(1+Inputs!$F$18)</f>
        <v/>
      </c>
      <c r="P14" s="20">
        <f>O14*(1+Inputs!$F$18)</f>
        <v/>
      </c>
      <c r="Q14" s="20">
        <f>P14*(1+Inputs!$F$18)</f>
        <v/>
      </c>
      <c r="R14" s="20">
        <f>Q14*(1+Inputs!$F$18)</f>
        <v/>
      </c>
      <c r="S14" s="20">
        <f>R14*(1+Inputs!$F$18)</f>
        <v/>
      </c>
      <c r="T14" s="20">
        <f>S14*(1+Inputs!$F$18)</f>
        <v/>
      </c>
      <c r="U14" s="20">
        <f>T14*(1+Inputs!$F$18)</f>
        <v/>
      </c>
    </row>
    <row r="15">
      <c r="A15" s="3" t="inlineStr">
        <is>
          <t>Total revenue</t>
        </is>
      </c>
      <c r="B15" s="23">
        <f>B13+B14</f>
        <v/>
      </c>
      <c r="C15" s="23">
        <f>C13+C14</f>
        <v/>
      </c>
      <c r="D15" s="23">
        <f>D13+D14</f>
        <v/>
      </c>
      <c r="E15" s="23">
        <f>E13+E14</f>
        <v/>
      </c>
      <c r="F15" s="23">
        <f>F13+F14</f>
        <v/>
      </c>
      <c r="G15" s="23">
        <f>G13+G14</f>
        <v/>
      </c>
      <c r="H15" s="23">
        <f>H13+H14</f>
        <v/>
      </c>
      <c r="I15" s="23">
        <f>I13+I14</f>
        <v/>
      </c>
      <c r="J15" s="23">
        <f>J13+J14</f>
        <v/>
      </c>
      <c r="K15" s="23">
        <f>K13+K14</f>
        <v/>
      </c>
      <c r="L15" s="23">
        <f>L13+L14</f>
        <v/>
      </c>
      <c r="M15" s="23">
        <f>M13+M14</f>
        <v/>
      </c>
      <c r="N15" s="23">
        <f>N13+N14</f>
        <v/>
      </c>
      <c r="O15" s="23">
        <f>O13+O14</f>
        <v/>
      </c>
      <c r="P15" s="23">
        <f>P13+P14</f>
        <v/>
      </c>
      <c r="Q15" s="23">
        <f>Q13+Q14</f>
        <v/>
      </c>
      <c r="R15" s="23">
        <f>R13+R14</f>
        <v/>
      </c>
      <c r="S15" s="23">
        <f>S13+S14</f>
        <v/>
      </c>
      <c r="T15" s="23">
        <f>T13+T14</f>
        <v/>
      </c>
      <c r="U15" s="23">
        <f>U13+U14</f>
        <v/>
      </c>
    </row>
    <row r="16">
      <c r="A16" s="6" t="inlineStr">
        <is>
          <t>DEPARTMENTAL EXPENSES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</row>
    <row r="17">
      <c r="A17" t="inlineStr">
        <is>
          <t>Rooms</t>
        </is>
      </c>
      <c r="B17" s="20">
        <f>B13*Inputs!$F$25</f>
        <v/>
      </c>
      <c r="C17" s="20">
        <f>C13*Inputs!$F$26</f>
        <v/>
      </c>
      <c r="D17" s="20">
        <f>D13*Inputs!$F$27</f>
        <v/>
      </c>
      <c r="E17" s="20">
        <f>E13*Inputs!$F$28</f>
        <v/>
      </c>
      <c r="F17" s="20">
        <f>F13*Inputs!$F$28</f>
        <v/>
      </c>
      <c r="G17" s="20">
        <f>G13*Inputs!$F$28</f>
        <v/>
      </c>
      <c r="H17" s="20">
        <f>H13*Inputs!$F$28</f>
        <v/>
      </c>
      <c r="I17" s="20">
        <f>I13*Inputs!$F$28</f>
        <v/>
      </c>
      <c r="J17" s="20">
        <f>J13*Inputs!$F$28</f>
        <v/>
      </c>
      <c r="K17" s="20">
        <f>K13*Inputs!$F$28</f>
        <v/>
      </c>
      <c r="L17" s="20">
        <f>L13*Inputs!$F$28</f>
        <v/>
      </c>
      <c r="M17" s="20">
        <f>M13*Inputs!$F$28</f>
        <v/>
      </c>
      <c r="N17" s="20">
        <f>N13*Inputs!$F$28</f>
        <v/>
      </c>
      <c r="O17" s="20">
        <f>O13*Inputs!$F$28</f>
        <v/>
      </c>
      <c r="P17" s="20">
        <f>P13*Inputs!$F$28</f>
        <v/>
      </c>
      <c r="Q17" s="20">
        <f>Q13*Inputs!$F$28</f>
        <v/>
      </c>
      <c r="R17" s="20">
        <f>R13*Inputs!$F$28</f>
        <v/>
      </c>
      <c r="S17" s="20">
        <f>S13*Inputs!$F$28</f>
        <v/>
      </c>
      <c r="T17" s="20">
        <f>T13*Inputs!$F$28</f>
        <v/>
      </c>
      <c r="U17" s="20">
        <f>U13*Inputs!$F$28</f>
        <v/>
      </c>
    </row>
    <row r="18">
      <c r="A18" t="inlineStr">
        <is>
          <t>Food &amp; Beverage</t>
        </is>
      </c>
      <c r="B18" s="20">
        <f>B14*Inputs!$F$29</f>
        <v/>
      </c>
      <c r="C18" s="20">
        <f>C14*Inputs!$F$29</f>
        <v/>
      </c>
      <c r="D18" s="20">
        <f>D14*Inputs!$F$29</f>
        <v/>
      </c>
      <c r="E18" s="20">
        <f>E14*Inputs!$F$29</f>
        <v/>
      </c>
      <c r="F18" s="20">
        <f>F14*Inputs!$F$29</f>
        <v/>
      </c>
      <c r="G18" s="20">
        <f>G14*Inputs!$F$29</f>
        <v/>
      </c>
      <c r="H18" s="20">
        <f>H14*Inputs!$F$29</f>
        <v/>
      </c>
      <c r="I18" s="20">
        <f>I14*Inputs!$F$29</f>
        <v/>
      </c>
      <c r="J18" s="20">
        <f>J14*Inputs!$F$29</f>
        <v/>
      </c>
      <c r="K18" s="20">
        <f>K14*Inputs!$F$29</f>
        <v/>
      </c>
      <c r="L18" s="20">
        <f>L14*Inputs!$F$29</f>
        <v/>
      </c>
      <c r="M18" s="20">
        <f>M14*Inputs!$F$29</f>
        <v/>
      </c>
      <c r="N18" s="20">
        <f>N14*Inputs!$F$29</f>
        <v/>
      </c>
      <c r="O18" s="20">
        <f>O14*Inputs!$F$29</f>
        <v/>
      </c>
      <c r="P18" s="20">
        <f>P14*Inputs!$F$29</f>
        <v/>
      </c>
      <c r="Q18" s="20">
        <f>Q14*Inputs!$F$29</f>
        <v/>
      </c>
      <c r="R18" s="20">
        <f>R14*Inputs!$F$29</f>
        <v/>
      </c>
      <c r="S18" s="20">
        <f>S14*Inputs!$F$29</f>
        <v/>
      </c>
      <c r="T18" s="20">
        <f>T14*Inputs!$F$29</f>
        <v/>
      </c>
      <c r="U18" s="20">
        <f>U14*Inputs!$F$29</f>
        <v/>
      </c>
    </row>
    <row r="19">
      <c r="A19" t="inlineStr">
        <is>
          <t>Staff</t>
        </is>
      </c>
      <c r="B19" s="20">
        <f>Inputs!$F$30</f>
        <v/>
      </c>
      <c r="C19" s="20">
        <f>B19*(1+Inputs!$F$18)</f>
        <v/>
      </c>
      <c r="D19" s="20">
        <f>C19*(1+Inputs!$F$18)</f>
        <v/>
      </c>
      <c r="E19" s="20">
        <f>D19*(1+Inputs!$F$18)</f>
        <v/>
      </c>
      <c r="F19" s="20">
        <f>E19*(1+Inputs!$F$18)</f>
        <v/>
      </c>
      <c r="G19" s="20">
        <f>F19*(1+Inputs!$F$18)</f>
        <v/>
      </c>
      <c r="H19" s="20">
        <f>G19*(1+Inputs!$F$18)</f>
        <v/>
      </c>
      <c r="I19" s="20">
        <f>H19*(1+Inputs!$F$18)</f>
        <v/>
      </c>
      <c r="J19" s="20">
        <f>I19*(1+Inputs!$F$18)</f>
        <v/>
      </c>
      <c r="K19" s="20">
        <f>J19*(1+Inputs!$F$18)</f>
        <v/>
      </c>
      <c r="L19" s="20">
        <f>K19*(1+Inputs!$F$18)</f>
        <v/>
      </c>
      <c r="M19" s="20">
        <f>L19*(1+Inputs!$F$18)</f>
        <v/>
      </c>
      <c r="N19" s="20">
        <f>M19*(1+Inputs!$F$18)</f>
        <v/>
      </c>
      <c r="O19" s="20">
        <f>N19*(1+Inputs!$F$18)</f>
        <v/>
      </c>
      <c r="P19" s="20">
        <f>O19*(1+Inputs!$F$18)</f>
        <v/>
      </c>
      <c r="Q19" s="20">
        <f>P19*(1+Inputs!$F$18)</f>
        <v/>
      </c>
      <c r="R19" s="20">
        <f>Q19*(1+Inputs!$F$18)</f>
        <v/>
      </c>
      <c r="S19" s="20">
        <f>R19*(1+Inputs!$F$18)</f>
        <v/>
      </c>
      <c r="T19" s="20">
        <f>S19*(1+Inputs!$F$18)</f>
        <v/>
      </c>
      <c r="U19" s="20">
        <f>T19*(1+Inputs!$F$18)</f>
        <v/>
      </c>
    </row>
    <row r="20">
      <c r="A20" s="3" t="inlineStr">
        <is>
          <t>Total departmental expenses</t>
        </is>
      </c>
      <c r="B20" s="23">
        <f>SUM(B17:B19)</f>
        <v/>
      </c>
      <c r="C20" s="23">
        <f>SUM(C17:C19)</f>
        <v/>
      </c>
      <c r="D20" s="23">
        <f>SUM(D17:D19)</f>
        <v/>
      </c>
      <c r="E20" s="23">
        <f>SUM(E17:E19)</f>
        <v/>
      </c>
      <c r="F20" s="23">
        <f>SUM(F17:F19)</f>
        <v/>
      </c>
      <c r="G20" s="23">
        <f>SUM(G17:G19)</f>
        <v/>
      </c>
      <c r="H20" s="23">
        <f>SUM(H17:H19)</f>
        <v/>
      </c>
      <c r="I20" s="23">
        <f>SUM(I17:I19)</f>
        <v/>
      </c>
      <c r="J20" s="23">
        <f>SUM(J17:J19)</f>
        <v/>
      </c>
      <c r="K20" s="23">
        <f>SUM(K17:K19)</f>
        <v/>
      </c>
      <c r="L20" s="23">
        <f>SUM(L17:L19)</f>
        <v/>
      </c>
      <c r="M20" s="23">
        <f>SUM(M17:M19)</f>
        <v/>
      </c>
      <c r="N20" s="23">
        <f>SUM(N17:N19)</f>
        <v/>
      </c>
      <c r="O20" s="23">
        <f>SUM(O17:O19)</f>
        <v/>
      </c>
      <c r="P20" s="23">
        <f>SUM(P17:P19)</f>
        <v/>
      </c>
      <c r="Q20" s="23">
        <f>SUM(Q17:Q19)</f>
        <v/>
      </c>
      <c r="R20" s="23">
        <f>SUM(R17:R19)</f>
        <v/>
      </c>
      <c r="S20" s="23">
        <f>SUM(S17:S19)</f>
        <v/>
      </c>
      <c r="T20" s="23">
        <f>SUM(T17:T19)</f>
        <v/>
      </c>
      <c r="U20" s="23">
        <f>SUM(U17:U19)</f>
        <v/>
      </c>
    </row>
    <row r="21">
      <c r="A21" s="24" t="inlineStr">
        <is>
          <t>Percentage of revenue</t>
        </is>
      </c>
      <c r="B21" s="25">
        <f>B20/B15</f>
        <v/>
      </c>
      <c r="C21" s="25">
        <f>C20/C15</f>
        <v/>
      </c>
      <c r="D21" s="25">
        <f>D20/D15</f>
        <v/>
      </c>
      <c r="E21" s="25">
        <f>E20/E15</f>
        <v/>
      </c>
      <c r="F21" s="25">
        <f>F20/F15</f>
        <v/>
      </c>
      <c r="G21" s="25">
        <f>G20/G15</f>
        <v/>
      </c>
      <c r="H21" s="25">
        <f>H20/H15</f>
        <v/>
      </c>
      <c r="I21" s="25">
        <f>I20/I15</f>
        <v/>
      </c>
      <c r="J21" s="25">
        <f>J20/J15</f>
        <v/>
      </c>
      <c r="K21" s="25">
        <f>K20/K15</f>
        <v/>
      </c>
      <c r="L21" s="25">
        <f>L20/L15</f>
        <v/>
      </c>
      <c r="M21" s="25">
        <f>M20/M15</f>
        <v/>
      </c>
      <c r="N21" s="25">
        <f>N20/N15</f>
        <v/>
      </c>
      <c r="O21" s="25">
        <f>O20/O15</f>
        <v/>
      </c>
      <c r="P21" s="25">
        <f>P20/P15</f>
        <v/>
      </c>
      <c r="Q21" s="25">
        <f>Q20/Q15</f>
        <v/>
      </c>
      <c r="R21" s="25">
        <f>R20/R15</f>
        <v/>
      </c>
      <c r="S21" s="25">
        <f>S20/S15</f>
        <v/>
      </c>
      <c r="T21" s="25">
        <f>T20/T15</f>
        <v/>
      </c>
      <c r="U21" s="25">
        <f>U20/U15</f>
        <v/>
      </c>
    </row>
    <row r="22">
      <c r="A22" s="3" t="inlineStr">
        <is>
          <t>DEPARTMENTAL INCOME (LOSS)</t>
        </is>
      </c>
      <c r="B22" s="23">
        <f>B15-B20</f>
        <v/>
      </c>
      <c r="C22" s="23">
        <f>C15-C20</f>
        <v/>
      </c>
      <c r="D22" s="23">
        <f>D15-D20</f>
        <v/>
      </c>
      <c r="E22" s="23">
        <f>E15-E20</f>
        <v/>
      </c>
      <c r="F22" s="23">
        <f>F15-F20</f>
        <v/>
      </c>
      <c r="G22" s="23">
        <f>G15-G20</f>
        <v/>
      </c>
      <c r="H22" s="23">
        <f>H15-H20</f>
        <v/>
      </c>
      <c r="I22" s="23">
        <f>I15-I20</f>
        <v/>
      </c>
      <c r="J22" s="23">
        <f>J15-J20</f>
        <v/>
      </c>
      <c r="K22" s="23">
        <f>K15-K20</f>
        <v/>
      </c>
      <c r="L22" s="23">
        <f>L15-L20</f>
        <v/>
      </c>
      <c r="M22" s="23">
        <f>M15-M20</f>
        <v/>
      </c>
      <c r="N22" s="23">
        <f>N15-N20</f>
        <v/>
      </c>
      <c r="O22" s="23">
        <f>O15-O20</f>
        <v/>
      </c>
      <c r="P22" s="23">
        <f>P15-P20</f>
        <v/>
      </c>
      <c r="Q22" s="23">
        <f>Q15-Q20</f>
        <v/>
      </c>
      <c r="R22" s="23">
        <f>R15-R20</f>
        <v/>
      </c>
      <c r="S22" s="23">
        <f>S15-S20</f>
        <v/>
      </c>
      <c r="T22" s="23">
        <f>T15-T20</f>
        <v/>
      </c>
      <c r="U22" s="23">
        <f>U15-U20</f>
        <v/>
      </c>
    </row>
    <row r="23">
      <c r="A23" s="24" t="inlineStr">
        <is>
          <t>Percentage of revenue</t>
        </is>
      </c>
      <c r="B23" s="25">
        <f>B22/B15</f>
        <v/>
      </c>
      <c r="C23" s="25">
        <f>C22/C15</f>
        <v/>
      </c>
      <c r="D23" s="25">
        <f>D22/D15</f>
        <v/>
      </c>
      <c r="E23" s="25">
        <f>E22/E15</f>
        <v/>
      </c>
      <c r="F23" s="25">
        <f>F22/F15</f>
        <v/>
      </c>
      <c r="G23" s="25">
        <f>G22/G15</f>
        <v/>
      </c>
      <c r="H23" s="25">
        <f>H22/H15</f>
        <v/>
      </c>
      <c r="I23" s="25">
        <f>I22/I15</f>
        <v/>
      </c>
      <c r="J23" s="25">
        <f>J22/J15</f>
        <v/>
      </c>
      <c r="K23" s="25">
        <f>K22/K15</f>
        <v/>
      </c>
      <c r="L23" s="25">
        <f>L22/L15</f>
        <v/>
      </c>
      <c r="M23" s="25">
        <f>M22/M15</f>
        <v/>
      </c>
      <c r="N23" s="25">
        <f>N22/N15</f>
        <v/>
      </c>
      <c r="O23" s="25">
        <f>O22/O15</f>
        <v/>
      </c>
      <c r="P23" s="25">
        <f>P22/P15</f>
        <v/>
      </c>
      <c r="Q23" s="25">
        <f>Q22/Q15</f>
        <v/>
      </c>
      <c r="R23" s="25">
        <f>R22/R15</f>
        <v/>
      </c>
      <c r="S23" s="25">
        <f>S22/S15</f>
        <v/>
      </c>
      <c r="T23" s="25">
        <f>T22/T15</f>
        <v/>
      </c>
      <c r="U23" s="25">
        <f>U22/U15</f>
        <v/>
      </c>
    </row>
    <row r="24">
      <c r="A24" s="6" t="inlineStr">
        <is>
          <t>UNDISTRIBUTED OPERATING EXPENSES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</row>
    <row r="25">
      <c r="A25" t="inlineStr">
        <is>
          <t>Administrative and General</t>
        </is>
      </c>
      <c r="B25" s="20">
        <f>Inputs!$F$32*POWER(1+Inputs!$F$18,0)+Inputs!$F$33*B15</f>
        <v/>
      </c>
      <c r="C25" s="20">
        <f>Inputs!$F$32*POWER(1+Inputs!$F$18,1)+Inputs!$F$33*C15</f>
        <v/>
      </c>
      <c r="D25" s="20">
        <f>Inputs!$F$32*POWER(1+Inputs!$F$18,2)+Inputs!$F$33*D15</f>
        <v/>
      </c>
      <c r="E25" s="20">
        <f>Inputs!$F$32*POWER(1+Inputs!$F$18,3)+Inputs!$F$33*E15</f>
        <v/>
      </c>
      <c r="F25" s="20">
        <f>Inputs!$F$32*POWER(1+Inputs!$F$18,4)+Inputs!$F$33*F15</f>
        <v/>
      </c>
      <c r="G25" s="20">
        <f>Inputs!$F$32*POWER(1+Inputs!$F$18,5)+Inputs!$F$33*G15</f>
        <v/>
      </c>
      <c r="H25" s="20">
        <f>Inputs!$F$32*POWER(1+Inputs!$F$18,6)+Inputs!$F$33*H15</f>
        <v/>
      </c>
      <c r="I25" s="20">
        <f>Inputs!$F$32*POWER(1+Inputs!$F$18,7)+Inputs!$F$33*I15</f>
        <v/>
      </c>
      <c r="J25" s="20">
        <f>Inputs!$F$32*POWER(1+Inputs!$F$18,8)+Inputs!$F$33*J15</f>
        <v/>
      </c>
      <c r="K25" s="20">
        <f>Inputs!$F$32*POWER(1+Inputs!$F$18,9)+Inputs!$F$33*K15</f>
        <v/>
      </c>
      <c r="L25" s="20">
        <f>Inputs!$F$32*POWER(1+Inputs!$F$18,10)+Inputs!$F$33*L15</f>
        <v/>
      </c>
      <c r="M25" s="20">
        <f>Inputs!$F$32*POWER(1+Inputs!$F$18,11)+Inputs!$F$33*M15</f>
        <v/>
      </c>
      <c r="N25" s="20">
        <f>Inputs!$F$32*POWER(1+Inputs!$F$18,12)+Inputs!$F$33*N15</f>
        <v/>
      </c>
      <c r="O25" s="20">
        <f>Inputs!$F$32*POWER(1+Inputs!$F$18,13)+Inputs!$F$33*O15</f>
        <v/>
      </c>
      <c r="P25" s="20">
        <f>Inputs!$F$32*POWER(1+Inputs!$F$18,14)+Inputs!$F$33*P15</f>
        <v/>
      </c>
      <c r="Q25" s="20">
        <f>Inputs!$F$32*POWER(1+Inputs!$F$18,15)+Inputs!$F$33*Q15</f>
        <v/>
      </c>
      <c r="R25" s="20">
        <f>Inputs!$F$32*POWER(1+Inputs!$F$18,16)+Inputs!$F$33*R15</f>
        <v/>
      </c>
      <c r="S25" s="20">
        <f>Inputs!$F$32*POWER(1+Inputs!$F$18,17)+Inputs!$F$33*S15</f>
        <v/>
      </c>
      <c r="T25" s="20">
        <f>Inputs!$F$32*POWER(1+Inputs!$F$18,18)+Inputs!$F$33*T15</f>
        <v/>
      </c>
      <c r="U25" s="20">
        <f>Inputs!$F$32*POWER(1+Inputs!$F$18,19)+Inputs!$F$33*U15</f>
        <v/>
      </c>
    </row>
    <row r="26">
      <c r="A26" t="inlineStr">
        <is>
          <t>Marketing</t>
        </is>
      </c>
      <c r="B26" s="20">
        <f>Inputs!$F$34*B15</f>
        <v/>
      </c>
      <c r="C26" s="20">
        <f>Inputs!$F$34*C15</f>
        <v/>
      </c>
      <c r="D26" s="20">
        <f>Inputs!$F$34*D15</f>
        <v/>
      </c>
      <c r="E26" s="20">
        <f>Inputs!$F$34*E15</f>
        <v/>
      </c>
      <c r="F26" s="20">
        <f>Inputs!$F$34*F15</f>
        <v/>
      </c>
      <c r="G26" s="20">
        <f>Inputs!$F$34*G15</f>
        <v/>
      </c>
      <c r="H26" s="20">
        <f>Inputs!$F$34*H15</f>
        <v/>
      </c>
      <c r="I26" s="20">
        <f>Inputs!$F$34*I15</f>
        <v/>
      </c>
      <c r="J26" s="20">
        <f>Inputs!$F$34*J15</f>
        <v/>
      </c>
      <c r="K26" s="20">
        <f>Inputs!$F$34*K15</f>
        <v/>
      </c>
      <c r="L26" s="20">
        <f>Inputs!$F$34*L15</f>
        <v/>
      </c>
      <c r="M26" s="20">
        <f>Inputs!$F$34*M15</f>
        <v/>
      </c>
      <c r="N26" s="20">
        <f>Inputs!$F$34*N15</f>
        <v/>
      </c>
      <c r="O26" s="20">
        <f>Inputs!$F$34*O15</f>
        <v/>
      </c>
      <c r="P26" s="20">
        <f>Inputs!$F$34*P15</f>
        <v/>
      </c>
      <c r="Q26" s="20">
        <f>Inputs!$F$34*Q15</f>
        <v/>
      </c>
      <c r="R26" s="20">
        <f>Inputs!$F$34*R15</f>
        <v/>
      </c>
      <c r="S26" s="20">
        <f>Inputs!$F$34*S15</f>
        <v/>
      </c>
      <c r="T26" s="20">
        <f>Inputs!$F$34*T15</f>
        <v/>
      </c>
      <c r="U26" s="20">
        <f>Inputs!$F$34*U15</f>
        <v/>
      </c>
    </row>
    <row r="27">
      <c r="A27" t="inlineStr">
        <is>
          <t>Property Operations and Maintenance</t>
        </is>
      </c>
      <c r="B27" s="20">
        <f>Inputs!$F$35*B15</f>
        <v/>
      </c>
      <c r="C27" s="20">
        <f>Inputs!$F$35*C15</f>
        <v/>
      </c>
      <c r="D27" s="20">
        <f>Inputs!$F$35*D15</f>
        <v/>
      </c>
      <c r="E27" s="20">
        <f>Inputs!$F$35*E15</f>
        <v/>
      </c>
      <c r="F27" s="20">
        <f>Inputs!$F$35*F15</f>
        <v/>
      </c>
      <c r="G27" s="20">
        <f>Inputs!$F$35*G15</f>
        <v/>
      </c>
      <c r="H27" s="20">
        <f>Inputs!$F$35*H15</f>
        <v/>
      </c>
      <c r="I27" s="20">
        <f>Inputs!$F$35*I15</f>
        <v/>
      </c>
      <c r="J27" s="20">
        <f>Inputs!$F$35*J15</f>
        <v/>
      </c>
      <c r="K27" s="20">
        <f>Inputs!$F$35*K15</f>
        <v/>
      </c>
      <c r="L27" s="20">
        <f>Inputs!$F$35*L15</f>
        <v/>
      </c>
      <c r="M27" s="20">
        <f>Inputs!$F$35*M15</f>
        <v/>
      </c>
      <c r="N27" s="20">
        <f>Inputs!$F$35*N15</f>
        <v/>
      </c>
      <c r="O27" s="20">
        <f>Inputs!$F$35*O15</f>
        <v/>
      </c>
      <c r="P27" s="20">
        <f>Inputs!$F$35*P15</f>
        <v/>
      </c>
      <c r="Q27" s="20">
        <f>Inputs!$F$35*Q15</f>
        <v/>
      </c>
      <c r="R27" s="20">
        <f>Inputs!$F$35*R15</f>
        <v/>
      </c>
      <c r="S27" s="20">
        <f>Inputs!$F$35*S15</f>
        <v/>
      </c>
      <c r="T27" s="20">
        <f>Inputs!$F$35*T15</f>
        <v/>
      </c>
      <c r="U27" s="20">
        <f>Inputs!$F$35*U15</f>
        <v/>
      </c>
    </row>
    <row r="28">
      <c r="A28" t="inlineStr">
        <is>
          <t>Utility Costs</t>
        </is>
      </c>
      <c r="B28" s="20">
        <f>Inputs!$F$36*B15</f>
        <v/>
      </c>
      <c r="C28" s="20">
        <f>Inputs!$F$36*C15</f>
        <v/>
      </c>
      <c r="D28" s="20">
        <f>Inputs!$F$36*D15</f>
        <v/>
      </c>
      <c r="E28" s="20">
        <f>Inputs!$F$36*E15</f>
        <v/>
      </c>
      <c r="F28" s="20">
        <f>Inputs!$F$36*F15</f>
        <v/>
      </c>
      <c r="G28" s="20">
        <f>Inputs!$F$36*G15</f>
        <v/>
      </c>
      <c r="H28" s="20">
        <f>Inputs!$F$36*H15</f>
        <v/>
      </c>
      <c r="I28" s="20">
        <f>Inputs!$F$36*I15</f>
        <v/>
      </c>
      <c r="J28" s="20">
        <f>Inputs!$F$36*J15</f>
        <v/>
      </c>
      <c r="K28" s="20">
        <f>Inputs!$F$36*K15</f>
        <v/>
      </c>
      <c r="L28" s="20">
        <f>Inputs!$F$36*L15</f>
        <v/>
      </c>
      <c r="M28" s="20">
        <f>Inputs!$F$36*M15</f>
        <v/>
      </c>
      <c r="N28" s="20">
        <f>Inputs!$F$36*N15</f>
        <v/>
      </c>
      <c r="O28" s="20">
        <f>Inputs!$F$36*O15</f>
        <v/>
      </c>
      <c r="P28" s="20">
        <f>Inputs!$F$36*P15</f>
        <v/>
      </c>
      <c r="Q28" s="20">
        <f>Inputs!$F$36*Q15</f>
        <v/>
      </c>
      <c r="R28" s="20">
        <f>Inputs!$F$36*R15</f>
        <v/>
      </c>
      <c r="S28" s="20">
        <f>Inputs!$F$36*S15</f>
        <v/>
      </c>
      <c r="T28" s="20">
        <f>Inputs!$F$36*T15</f>
        <v/>
      </c>
      <c r="U28" s="20">
        <f>Inputs!$F$36*U15</f>
        <v/>
      </c>
    </row>
    <row r="29">
      <c r="A29" s="3" t="inlineStr">
        <is>
          <t>Total undistributed expenses</t>
        </is>
      </c>
      <c r="B29" s="23">
        <f>SUM(B25:B28)</f>
        <v/>
      </c>
      <c r="C29" s="23">
        <f>SUM(C25:C28)</f>
        <v/>
      </c>
      <c r="D29" s="23">
        <f>SUM(D25:D28)</f>
        <v/>
      </c>
      <c r="E29" s="23">
        <f>SUM(E25:E28)</f>
        <v/>
      </c>
      <c r="F29" s="23">
        <f>SUM(F25:F28)</f>
        <v/>
      </c>
      <c r="G29" s="23">
        <f>SUM(G25:G28)</f>
        <v/>
      </c>
      <c r="H29" s="23">
        <f>SUM(H25:H28)</f>
        <v/>
      </c>
      <c r="I29" s="23">
        <f>SUM(I25:I28)</f>
        <v/>
      </c>
      <c r="J29" s="23">
        <f>SUM(J25:J28)</f>
        <v/>
      </c>
      <c r="K29" s="23">
        <f>SUM(K25:K28)</f>
        <v/>
      </c>
      <c r="L29" s="23">
        <f>SUM(L25:L28)</f>
        <v/>
      </c>
      <c r="M29" s="23">
        <f>SUM(M25:M28)</f>
        <v/>
      </c>
      <c r="N29" s="23">
        <f>SUM(N25:N28)</f>
        <v/>
      </c>
      <c r="O29" s="23">
        <f>SUM(O25:O28)</f>
        <v/>
      </c>
      <c r="P29" s="23">
        <f>SUM(P25:P28)</f>
        <v/>
      </c>
      <c r="Q29" s="23">
        <f>SUM(Q25:Q28)</f>
        <v/>
      </c>
      <c r="R29" s="23">
        <f>SUM(R25:R28)</f>
        <v/>
      </c>
      <c r="S29" s="23">
        <f>SUM(S25:S28)</f>
        <v/>
      </c>
      <c r="T29" s="23">
        <f>SUM(T25:T28)</f>
        <v/>
      </c>
      <c r="U29" s="23">
        <f>SUM(U25:U28)</f>
        <v/>
      </c>
    </row>
    <row r="30">
      <c r="A30" s="24" t="inlineStr">
        <is>
          <t>Percentage of revenue</t>
        </is>
      </c>
      <c r="B30" s="25">
        <f>B29/B15</f>
        <v/>
      </c>
      <c r="C30" s="25">
        <f>C29/C15</f>
        <v/>
      </c>
      <c r="D30" s="25">
        <f>D29/D15</f>
        <v/>
      </c>
      <c r="E30" s="25">
        <f>E29/E15</f>
        <v/>
      </c>
      <c r="F30" s="25">
        <f>F29/F15</f>
        <v/>
      </c>
      <c r="G30" s="25">
        <f>G29/G15</f>
        <v/>
      </c>
      <c r="H30" s="25">
        <f>H29/H15</f>
        <v/>
      </c>
      <c r="I30" s="25">
        <f>I29/I15</f>
        <v/>
      </c>
      <c r="J30" s="25">
        <f>J29/J15</f>
        <v/>
      </c>
      <c r="K30" s="25">
        <f>K29/K15</f>
        <v/>
      </c>
      <c r="L30" s="25">
        <f>L29/L15</f>
        <v/>
      </c>
      <c r="M30" s="25">
        <f>M29/M15</f>
        <v/>
      </c>
      <c r="N30" s="25">
        <f>N29/N15</f>
        <v/>
      </c>
      <c r="O30" s="25">
        <f>O29/O15</f>
        <v/>
      </c>
      <c r="P30" s="25">
        <f>P29/P15</f>
        <v/>
      </c>
      <c r="Q30" s="25">
        <f>Q29/Q15</f>
        <v/>
      </c>
      <c r="R30" s="25">
        <f>R29/R15</f>
        <v/>
      </c>
      <c r="S30" s="25">
        <f>S29/S15</f>
        <v/>
      </c>
      <c r="T30" s="25">
        <f>T29/T15</f>
        <v/>
      </c>
      <c r="U30" s="25">
        <f>U29/U15</f>
        <v/>
      </c>
    </row>
    <row r="31">
      <c r="A31" s="3" t="inlineStr">
        <is>
          <t>EBITDAR</t>
        </is>
      </c>
      <c r="B31" s="23">
        <f>B22-B29</f>
        <v/>
      </c>
      <c r="C31" s="23">
        <f>C22-C29</f>
        <v/>
      </c>
      <c r="D31" s="23">
        <f>D22-D29</f>
        <v/>
      </c>
      <c r="E31" s="23">
        <f>E22-E29</f>
        <v/>
      </c>
      <c r="F31" s="23">
        <f>F22-F29</f>
        <v/>
      </c>
      <c r="G31" s="23">
        <f>G22-G29</f>
        <v/>
      </c>
      <c r="H31" s="23">
        <f>H22-H29</f>
        <v/>
      </c>
      <c r="I31" s="23">
        <f>I22-I29</f>
        <v/>
      </c>
      <c r="J31" s="23">
        <f>J22-J29</f>
        <v/>
      </c>
      <c r="K31" s="23">
        <f>K22-K29</f>
        <v/>
      </c>
      <c r="L31" s="23">
        <f>L22-L29</f>
        <v/>
      </c>
      <c r="M31" s="23">
        <f>M22-M29</f>
        <v/>
      </c>
      <c r="N31" s="23">
        <f>N22-N29</f>
        <v/>
      </c>
      <c r="O31" s="23">
        <f>O22-O29</f>
        <v/>
      </c>
      <c r="P31" s="23">
        <f>P22-P29</f>
        <v/>
      </c>
      <c r="Q31" s="23">
        <f>Q22-Q29</f>
        <v/>
      </c>
      <c r="R31" s="23">
        <f>R22-R29</f>
        <v/>
      </c>
      <c r="S31" s="23">
        <f>S22-S29</f>
        <v/>
      </c>
      <c r="T31" s="23">
        <f>T22-T29</f>
        <v/>
      </c>
      <c r="U31" s="23">
        <f>U22-U29</f>
        <v/>
      </c>
    </row>
    <row r="32">
      <c r="A32" s="24" t="inlineStr">
        <is>
          <t>Percentage of revenue</t>
        </is>
      </c>
      <c r="B32" s="25">
        <f>B31/B15</f>
        <v/>
      </c>
      <c r="C32" s="25">
        <f>C31/C15</f>
        <v/>
      </c>
      <c r="D32" s="25">
        <f>D31/D15</f>
        <v/>
      </c>
      <c r="E32" s="25">
        <f>E31/E15</f>
        <v/>
      </c>
      <c r="F32" s="25">
        <f>F31/F15</f>
        <v/>
      </c>
      <c r="G32" s="25">
        <f>G31/G15</f>
        <v/>
      </c>
      <c r="H32" s="25">
        <f>H31/H15</f>
        <v/>
      </c>
      <c r="I32" s="25">
        <f>I31/I15</f>
        <v/>
      </c>
      <c r="J32" s="25">
        <f>J31/J15</f>
        <v/>
      </c>
      <c r="K32" s="25">
        <f>K31/K15</f>
        <v/>
      </c>
      <c r="L32" s="25">
        <f>L31/L15</f>
        <v/>
      </c>
      <c r="M32" s="25">
        <f>M31/M15</f>
        <v/>
      </c>
      <c r="N32" s="25">
        <f>N31/N15</f>
        <v/>
      </c>
      <c r="O32" s="25">
        <f>O31/O15</f>
        <v/>
      </c>
      <c r="P32" s="25">
        <f>P31/P15</f>
        <v/>
      </c>
      <c r="Q32" s="25">
        <f>Q31/Q15</f>
        <v/>
      </c>
      <c r="R32" s="25">
        <f>R31/R15</f>
        <v/>
      </c>
      <c r="S32" s="25">
        <f>S31/S15</f>
        <v/>
      </c>
      <c r="T32" s="25">
        <f>T31/T15</f>
        <v/>
      </c>
      <c r="U32" s="25">
        <f>U31/U15</f>
        <v/>
      </c>
    </row>
    <row r="33">
      <c r="A33" t="inlineStr">
        <is>
          <t>Rent</t>
        </is>
      </c>
      <c r="B33" s="20">
        <f>IF(B3&gt;=Inputs!$F$41,Inputs!$F$42,IF(B3&gt;=Inputs!$F$39,Inputs!$F$40,Inputs!$F$38))</f>
        <v/>
      </c>
      <c r="C33" s="20">
        <f>IF(C3&gt;=Inputs!$F$41,Inputs!$F$42,IF(C3&gt;=Inputs!$F$39,Inputs!$F$40,Inputs!$F$38))</f>
        <v/>
      </c>
      <c r="D33" s="20">
        <f>IF(D3&gt;=Inputs!$F$41,Inputs!$F$42,IF(D3&gt;=Inputs!$F$39,Inputs!$F$40,Inputs!$F$38))</f>
        <v/>
      </c>
      <c r="E33" s="20">
        <f>IF(E3&gt;=Inputs!$F$41,Inputs!$F$42,IF(E3&gt;=Inputs!$F$39,Inputs!$F$40,Inputs!$F$38))</f>
        <v/>
      </c>
      <c r="F33" s="20">
        <f>IF(F3&gt;=Inputs!$F$41,Inputs!$F$42,IF(F3&gt;=Inputs!$F$39,Inputs!$F$40,Inputs!$F$38))</f>
        <v/>
      </c>
      <c r="G33" s="20">
        <f>IF(G3&gt;=Inputs!$F$41,Inputs!$F$42,IF(G3&gt;=Inputs!$F$39,Inputs!$F$40,Inputs!$F$38))</f>
        <v/>
      </c>
      <c r="H33" s="20">
        <f>IF(H3&gt;=Inputs!$F$41,Inputs!$F$42,IF(H3&gt;=Inputs!$F$39,Inputs!$F$40,Inputs!$F$38))</f>
        <v/>
      </c>
      <c r="I33" s="20">
        <f>IF(I3&gt;=Inputs!$F$41,Inputs!$F$42,IF(I3&gt;=Inputs!$F$39,Inputs!$F$40,Inputs!$F$38))</f>
        <v/>
      </c>
      <c r="J33" s="20">
        <f>IF(J3&gt;=Inputs!$F$41,Inputs!$F$42,IF(J3&gt;=Inputs!$F$39,Inputs!$F$40,Inputs!$F$38))</f>
        <v/>
      </c>
      <c r="K33" s="20">
        <f>IF(K3&gt;=Inputs!$F$41,Inputs!$F$42,IF(K3&gt;=Inputs!$F$39,Inputs!$F$40,Inputs!$F$38))</f>
        <v/>
      </c>
      <c r="L33" s="20">
        <f>IF(L3&gt;=Inputs!$F$41,Inputs!$F$42,IF(L3&gt;=Inputs!$F$39,Inputs!$F$40,Inputs!$F$38))</f>
        <v/>
      </c>
      <c r="M33" s="20">
        <f>IF(M3&gt;=Inputs!$F$41,Inputs!$F$42,IF(M3&gt;=Inputs!$F$39,Inputs!$F$40,Inputs!$F$38))</f>
        <v/>
      </c>
      <c r="N33" s="20">
        <f>IF(N3&gt;=Inputs!$F$41,Inputs!$F$42,IF(N3&gt;=Inputs!$F$39,Inputs!$F$40,Inputs!$F$38))</f>
        <v/>
      </c>
      <c r="O33" s="20">
        <f>IF(O3&gt;=Inputs!$F$41,Inputs!$F$42,IF(O3&gt;=Inputs!$F$39,Inputs!$F$40,Inputs!$F$38))</f>
        <v/>
      </c>
      <c r="P33" s="20">
        <f>IF(P3&gt;=Inputs!$F$41,Inputs!$F$42,IF(P3&gt;=Inputs!$F$39,Inputs!$F$40,Inputs!$F$38))</f>
        <v/>
      </c>
      <c r="Q33" s="20">
        <f>IF(Q3&gt;=Inputs!$F$41,Inputs!$F$42,IF(Q3&gt;=Inputs!$F$39,Inputs!$F$40,Inputs!$F$38))</f>
        <v/>
      </c>
      <c r="R33" s="20">
        <f>IF(R3&gt;=Inputs!$F$41,Inputs!$F$42,IF(R3&gt;=Inputs!$F$39,Inputs!$F$40,Inputs!$F$38))</f>
        <v/>
      </c>
      <c r="S33" s="20">
        <f>IF(S3&gt;=Inputs!$F$41,Inputs!$F$42,IF(S3&gt;=Inputs!$F$39,Inputs!$F$40,Inputs!$F$38))</f>
        <v/>
      </c>
      <c r="T33" s="20">
        <f>IF(T3&gt;=Inputs!$F$41,Inputs!$F$42,IF(T3&gt;=Inputs!$F$39,Inputs!$F$40,Inputs!$F$38))</f>
        <v/>
      </c>
      <c r="U33" s="20">
        <f>IF(U3&gt;=Inputs!$F$41,Inputs!$F$42,IF(U3&gt;=Inputs!$F$39,Inputs!$F$40,Inputs!$F$38))</f>
        <v/>
      </c>
    </row>
    <row r="34">
      <c r="A34" s="3" t="inlineStr">
        <is>
          <t>EBITDA</t>
        </is>
      </c>
      <c r="B34" s="23">
        <f>B31-B33</f>
        <v/>
      </c>
      <c r="C34" s="23">
        <f>C31-C33</f>
        <v/>
      </c>
      <c r="D34" s="23">
        <f>D31-D33</f>
        <v/>
      </c>
      <c r="E34" s="23">
        <f>E31-E33</f>
        <v/>
      </c>
      <c r="F34" s="23">
        <f>F31-F33</f>
        <v/>
      </c>
      <c r="G34" s="23">
        <f>G31-G33</f>
        <v/>
      </c>
      <c r="H34" s="23">
        <f>H31-H33</f>
        <v/>
      </c>
      <c r="I34" s="23">
        <f>I31-I33</f>
        <v/>
      </c>
      <c r="J34" s="23">
        <f>J31-J33</f>
        <v/>
      </c>
      <c r="K34" s="23">
        <f>K31-K33</f>
        <v/>
      </c>
      <c r="L34" s="23">
        <f>L31-L33</f>
        <v/>
      </c>
      <c r="M34" s="23">
        <f>M31-M33</f>
        <v/>
      </c>
      <c r="N34" s="23">
        <f>N31-N33</f>
        <v/>
      </c>
      <c r="O34" s="23">
        <f>O31-O33</f>
        <v/>
      </c>
      <c r="P34" s="23">
        <f>P31-P33</f>
        <v/>
      </c>
      <c r="Q34" s="23">
        <f>Q31-Q33</f>
        <v/>
      </c>
      <c r="R34" s="23">
        <f>R31-R33</f>
        <v/>
      </c>
      <c r="S34" s="23">
        <f>S31-S33</f>
        <v/>
      </c>
      <c r="T34" s="23">
        <f>T31-T33</f>
        <v/>
      </c>
      <c r="U34" s="23">
        <f>U31-U33</f>
        <v/>
      </c>
    </row>
    <row r="35">
      <c r="A35" t="inlineStr">
        <is>
          <t>Reserve for replacement</t>
        </is>
      </c>
      <c r="B35" s="20">
        <f>Inputs!$F$43*B15</f>
        <v/>
      </c>
      <c r="C35" s="20">
        <f>Inputs!$F$44*C15</f>
        <v/>
      </c>
      <c r="D35" s="20">
        <f>Inputs!$F$44*D15</f>
        <v/>
      </c>
      <c r="E35" s="20">
        <f>Inputs!$F$44*E15</f>
        <v/>
      </c>
      <c r="F35" s="20">
        <f>Inputs!$F$44*F15</f>
        <v/>
      </c>
      <c r="G35" s="20">
        <f>Inputs!$F$44*G15</f>
        <v/>
      </c>
      <c r="H35" s="20">
        <f>Inputs!$F$44*H15</f>
        <v/>
      </c>
      <c r="I35" s="20">
        <f>Inputs!$F$44*I15</f>
        <v/>
      </c>
      <c r="J35" s="20">
        <f>Inputs!$F$44*J15</f>
        <v/>
      </c>
      <c r="K35" s="20">
        <f>Inputs!$F$44*K15</f>
        <v/>
      </c>
      <c r="L35" s="20">
        <f>Inputs!$F$44*L15</f>
        <v/>
      </c>
      <c r="M35" s="20">
        <f>Inputs!$F$44*M15</f>
        <v/>
      </c>
      <c r="N35" s="20">
        <f>Inputs!$F$44*N15</f>
        <v/>
      </c>
      <c r="O35" s="20">
        <f>Inputs!$F$44*O15</f>
        <v/>
      </c>
      <c r="P35" s="20">
        <f>Inputs!$F$44*P15</f>
        <v/>
      </c>
      <c r="Q35" s="20">
        <f>Inputs!$F$44*Q15</f>
        <v/>
      </c>
      <c r="R35" s="20">
        <f>Inputs!$F$44*R15</f>
        <v/>
      </c>
      <c r="S35" s="20">
        <f>Inputs!$F$44*S15</f>
        <v/>
      </c>
      <c r="T35" s="20">
        <f>Inputs!$F$44*T15</f>
        <v/>
      </c>
      <c r="U35" s="20">
        <f>Inputs!$F$44*U15</f>
        <v/>
      </c>
    </row>
    <row r="36">
      <c r="A36" s="3" t="inlineStr">
        <is>
          <t>NET OPERATING INCOME</t>
        </is>
      </c>
      <c r="B36" s="23">
        <f>B34-B35</f>
        <v/>
      </c>
      <c r="C36" s="23">
        <f>C34-C35</f>
        <v/>
      </c>
      <c r="D36" s="23">
        <f>D34-D35</f>
        <v/>
      </c>
      <c r="E36" s="23">
        <f>E34-E35</f>
        <v/>
      </c>
      <c r="F36" s="23">
        <f>F34-F35</f>
        <v/>
      </c>
      <c r="G36" s="23">
        <f>G34-G35</f>
        <v/>
      </c>
      <c r="H36" s="23">
        <f>H34-H35</f>
        <v/>
      </c>
      <c r="I36" s="23">
        <f>I34-I35</f>
        <v/>
      </c>
      <c r="J36" s="23">
        <f>J34-J35</f>
        <v/>
      </c>
      <c r="K36" s="23">
        <f>K34-K35</f>
        <v/>
      </c>
      <c r="L36" s="23">
        <f>L34-L35</f>
        <v/>
      </c>
      <c r="M36" s="23">
        <f>M34-M35</f>
        <v/>
      </c>
      <c r="N36" s="23">
        <f>N34-N35</f>
        <v/>
      </c>
      <c r="O36" s="23">
        <f>O34-O35</f>
        <v/>
      </c>
      <c r="P36" s="23">
        <f>P34-P35</f>
        <v/>
      </c>
      <c r="Q36" s="23">
        <f>Q34-Q35</f>
        <v/>
      </c>
      <c r="R36" s="23">
        <f>R34-R35</f>
        <v/>
      </c>
      <c r="S36" s="23">
        <f>S34-S35</f>
        <v/>
      </c>
      <c r="T36" s="23">
        <f>T34-T35</f>
        <v/>
      </c>
      <c r="U36" s="23">
        <f>U34-U35</f>
        <v/>
      </c>
    </row>
    <row r="37">
      <c r="A37" s="24" t="inlineStr">
        <is>
          <t>Percentage of revenue</t>
        </is>
      </c>
      <c r="B37" s="25">
        <f>B36/B15</f>
        <v/>
      </c>
      <c r="C37" s="25">
        <f>C36/C15</f>
        <v/>
      </c>
      <c r="D37" s="25">
        <f>D36/D15</f>
        <v/>
      </c>
      <c r="E37" s="25">
        <f>E36/E15</f>
        <v/>
      </c>
      <c r="F37" s="25">
        <f>F36/F15</f>
        <v/>
      </c>
      <c r="G37" s="25">
        <f>G36/G15</f>
        <v/>
      </c>
      <c r="H37" s="25">
        <f>H36/H15</f>
        <v/>
      </c>
      <c r="I37" s="25">
        <f>I36/I15</f>
        <v/>
      </c>
      <c r="J37" s="25">
        <f>J36/J15</f>
        <v/>
      </c>
      <c r="K37" s="25">
        <f>K36/K15</f>
        <v/>
      </c>
      <c r="L37" s="25">
        <f>L36/L15</f>
        <v/>
      </c>
      <c r="M37" s="25">
        <f>M36/M15</f>
        <v/>
      </c>
      <c r="N37" s="25">
        <f>N36/N15</f>
        <v/>
      </c>
      <c r="O37" s="25">
        <f>O36/O15</f>
        <v/>
      </c>
      <c r="P37" s="25">
        <f>P36/P15</f>
        <v/>
      </c>
      <c r="Q37" s="25">
        <f>Q36/Q15</f>
        <v/>
      </c>
      <c r="R37" s="25">
        <f>R36/R15</f>
        <v/>
      </c>
      <c r="S37" s="25">
        <f>S36/S15</f>
        <v/>
      </c>
      <c r="T37" s="25">
        <f>T36/T15</f>
        <v/>
      </c>
      <c r="U37" s="25">
        <f>U36/U15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</cols>
  <sheetData>
    <row r="1">
      <c r="A1" s="1" t="inlineStr">
        <is>
          <t>Unlevered returns (nominal €)</t>
        </is>
      </c>
    </row>
    <row r="2">
      <c r="A2" s="2" t="inlineStr">
        <is>
          <t>2024: rent during works plus CAPEX incl. VAT. 2025: first operating year plus full VAT recovery (per the plan). NPV uses Excel's NPV() over 2024-2044, i.e. the 2024 outflow is discounted by one year — this is the convention the PDF's €746,821 was computed with.</t>
        </is>
      </c>
    </row>
    <row r="3">
      <c r="A3" s="5" t="inlineStr">
        <is>
          <t>Year</t>
        </is>
      </c>
      <c r="B3" s="18" t="n">
        <v>2024</v>
      </c>
      <c r="C3" s="18" t="n">
        <v>2025</v>
      </c>
      <c r="D3" s="18" t="n">
        <v>2026</v>
      </c>
      <c r="E3" s="18" t="n">
        <v>2027</v>
      </c>
      <c r="F3" s="18" t="n">
        <v>2028</v>
      </c>
      <c r="G3" s="18" t="n">
        <v>2029</v>
      </c>
      <c r="H3" s="18" t="n">
        <v>2030</v>
      </c>
      <c r="I3" s="18" t="n">
        <v>2031</v>
      </c>
      <c r="J3" s="18" t="n">
        <v>2032</v>
      </c>
      <c r="K3" s="18" t="n">
        <v>2033</v>
      </c>
      <c r="L3" s="18" t="n">
        <v>2034</v>
      </c>
      <c r="M3" s="18" t="n">
        <v>2035</v>
      </c>
      <c r="N3" s="18" t="n">
        <v>2036</v>
      </c>
      <c r="O3" s="18" t="n">
        <v>2037</v>
      </c>
      <c r="P3" s="18" t="n">
        <v>2038</v>
      </c>
      <c r="Q3" s="18" t="n">
        <v>2039</v>
      </c>
      <c r="R3" s="18" t="n">
        <v>2040</v>
      </c>
      <c r="S3" s="18" t="n">
        <v>2041</v>
      </c>
      <c r="T3" s="18" t="n">
        <v>2042</v>
      </c>
      <c r="U3" s="18" t="n">
        <v>2043</v>
      </c>
      <c r="V3" s="18" t="n">
        <v>2044</v>
      </c>
    </row>
    <row r="4">
      <c r="A4" t="inlineStr">
        <is>
          <t>NOI</t>
        </is>
      </c>
      <c r="B4" s="20">
        <f>-IF(B3&gt;=Inputs!$F$41,Inputs!$F$42,IF(B3&gt;=Inputs!$F$39,Inputs!$F$40,Inputs!$F$38))</f>
        <v/>
      </c>
      <c r="C4" s="20">
        <f>Model!B36</f>
        <v/>
      </c>
      <c r="D4" s="20">
        <f>Model!C36</f>
        <v/>
      </c>
      <c r="E4" s="20">
        <f>Model!D36</f>
        <v/>
      </c>
      <c r="F4" s="20">
        <f>Model!E36</f>
        <v/>
      </c>
      <c r="G4" s="20">
        <f>Model!F36</f>
        <v/>
      </c>
      <c r="H4" s="20">
        <f>Model!G36</f>
        <v/>
      </c>
      <c r="I4" s="20">
        <f>Model!H36</f>
        <v/>
      </c>
      <c r="J4" s="20">
        <f>Model!I36</f>
        <v/>
      </c>
      <c r="K4" s="20">
        <f>Model!J36</f>
        <v/>
      </c>
      <c r="L4" s="20">
        <f>Model!K36</f>
        <v/>
      </c>
      <c r="M4" s="20">
        <f>Model!L36</f>
        <v/>
      </c>
      <c r="N4" s="20">
        <f>Model!M36</f>
        <v/>
      </c>
      <c r="O4" s="20">
        <f>Model!N36</f>
        <v/>
      </c>
      <c r="P4" s="20">
        <f>Model!O36</f>
        <v/>
      </c>
      <c r="Q4" s="20">
        <f>Model!P36</f>
        <v/>
      </c>
      <c r="R4" s="20">
        <f>Model!Q36</f>
        <v/>
      </c>
      <c r="S4" s="20">
        <f>Model!R36</f>
        <v/>
      </c>
      <c r="T4" s="20">
        <f>Model!S36</f>
        <v/>
      </c>
      <c r="U4" s="20">
        <f>Model!T36</f>
        <v/>
      </c>
      <c r="V4" s="20">
        <f>Model!U36</f>
        <v/>
      </c>
    </row>
    <row r="5">
      <c r="A5" t="inlineStr">
        <is>
          <t>CAPEX incl. VAT</t>
        </is>
      </c>
      <c r="B5" s="20">
        <f>-(Inputs!$F$46+Inputs!$F$47)*(1+Inputs!$F$48)</f>
        <v/>
      </c>
    </row>
    <row r="6">
      <c r="A6" t="inlineStr">
        <is>
          <t>CAPEX VAT recovery</t>
        </is>
      </c>
      <c r="C6" s="20">
        <f>(Inputs!$F$46+Inputs!$F$47)*Inputs!$F$48</f>
        <v/>
      </c>
    </row>
    <row r="7">
      <c r="A7" t="inlineStr">
        <is>
          <t>CAPEX grant (if any)</t>
        </is>
      </c>
      <c r="C7" s="20">
        <f>Inputs!$F$49*Inputs!$F$46</f>
        <v/>
      </c>
    </row>
    <row r="8">
      <c r="A8" s="3" t="inlineStr">
        <is>
          <t>Net cash flow</t>
        </is>
      </c>
      <c r="B8" s="23">
        <f>SUM(B4:B7)</f>
        <v/>
      </c>
      <c r="C8" s="23">
        <f>SUM(C4:C7)</f>
        <v/>
      </c>
      <c r="D8" s="23">
        <f>SUM(D4:D7)</f>
        <v/>
      </c>
      <c r="E8" s="23">
        <f>SUM(E4:E7)</f>
        <v/>
      </c>
      <c r="F8" s="23">
        <f>SUM(F4:F7)</f>
        <v/>
      </c>
      <c r="G8" s="23">
        <f>SUM(G4:G7)</f>
        <v/>
      </c>
      <c r="H8" s="23">
        <f>SUM(H4:H7)</f>
        <v/>
      </c>
      <c r="I8" s="23">
        <f>SUM(I4:I7)</f>
        <v/>
      </c>
      <c r="J8" s="23">
        <f>SUM(J4:J7)</f>
        <v/>
      </c>
      <c r="K8" s="23">
        <f>SUM(K4:K7)</f>
        <v/>
      </c>
      <c r="L8" s="23">
        <f>SUM(L4:L7)</f>
        <v/>
      </c>
      <c r="M8" s="23">
        <f>SUM(M4:M7)</f>
        <v/>
      </c>
      <c r="N8" s="23">
        <f>SUM(N4:N7)</f>
        <v/>
      </c>
      <c r="O8" s="23">
        <f>SUM(O4:O7)</f>
        <v/>
      </c>
      <c r="P8" s="23">
        <f>SUM(P4:P7)</f>
        <v/>
      </c>
      <c r="Q8" s="23">
        <f>SUM(Q4:Q7)</f>
        <v/>
      </c>
      <c r="R8" s="23">
        <f>SUM(R4:R7)</f>
        <v/>
      </c>
      <c r="S8" s="23">
        <f>SUM(S4:S7)</f>
        <v/>
      </c>
      <c r="T8" s="23">
        <f>SUM(T4:T7)</f>
        <v/>
      </c>
      <c r="U8" s="23">
        <f>SUM(U4:U7)</f>
        <v/>
      </c>
      <c r="V8" s="23">
        <f>SUM(V4:V7)</f>
        <v/>
      </c>
    </row>
    <row r="10">
      <c r="A10" s="3" t="inlineStr">
        <is>
          <t>NPV @ discount rate</t>
        </is>
      </c>
      <c r="B10" s="26">
        <f>NPV(Inputs!$F$50,B8:V8)</f>
        <v/>
      </c>
    </row>
    <row r="11">
      <c r="A11" s="3" t="inlineStr">
        <is>
          <t>IRR (unlevered)</t>
        </is>
      </c>
      <c r="B11" s="27">
        <f>IRR(B8:V8)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7" customWidth="1" min="3" max="3"/>
    <col width="13" customWidth="1" min="4" max="4"/>
    <col width="13" customWidth="1" min="5" max="5"/>
    <col width="11" customWidth="1" min="6" max="6"/>
    <col width="10" customWidth="1" min="7" max="7"/>
    <col width="9" customWidth="1" min="8" max="8"/>
  </cols>
  <sheetData>
    <row r="1">
      <c r="A1" s="1" t="inlineStr">
        <is>
          <t>Accuracy check — live model vs the printed PDF figures</t>
        </is>
      </c>
    </row>
    <row r="2">
      <c r="A2" s="28">
        <f>IF(Inputs!$B$4&lt;&gt;"Base","SWITCH THE SCENARIO TO Base — these checks compare the Base scenario to the PDF","Comparing Base scenario to the PDF. Tolerances allow for the PDF's own rounding (it prints whole euros / one decimal).")</f>
        <v/>
      </c>
    </row>
    <row r="4">
      <c r="A4" s="3" t="inlineStr">
        <is>
          <t>Checks passed:</t>
        </is>
      </c>
      <c r="B4" s="3">
        <f>COUNTIF(H7:H234,"OK")&amp;" of "&amp;COUNTA(H7:H234)</f>
        <v/>
      </c>
    </row>
    <row r="6">
      <c r="A6" s="5" t="inlineStr">
        <is>
          <t>Statement</t>
        </is>
      </c>
      <c r="B6" s="5" t="inlineStr">
        <is>
          <t>Line item</t>
        </is>
      </c>
      <c r="C6" s="5" t="inlineStr">
        <is>
          <t>Year</t>
        </is>
      </c>
      <c r="D6" s="5" t="inlineStr">
        <is>
          <t>PDF value</t>
        </is>
      </c>
      <c r="E6" s="5" t="inlineStr">
        <is>
          <t>Model value</t>
        </is>
      </c>
      <c r="F6" s="5" t="inlineStr">
        <is>
          <t>Difference</t>
        </is>
      </c>
      <c r="G6" s="5" t="inlineStr">
        <is>
          <t>Tolerance</t>
        </is>
      </c>
      <c r="H6" s="5" t="inlineStr">
        <is>
          <t>Status</t>
        </is>
      </c>
    </row>
    <row r="7">
      <c r="A7" t="inlineStr">
        <is>
          <t>KPIs (p.9)</t>
        </is>
      </c>
      <c r="B7" t="inlineStr">
        <is>
          <t>Occupancy</t>
        </is>
      </c>
      <c r="C7" t="n">
        <v>2025</v>
      </c>
      <c r="D7" s="21" t="n">
        <v>0.65</v>
      </c>
      <c r="E7" s="21">
        <f>Model!B8</f>
        <v/>
      </c>
      <c r="F7" s="21">
        <f>E7-D7</f>
        <v/>
      </c>
      <c r="G7" s="21" t="n">
        <v>0.005</v>
      </c>
      <c r="H7">
        <f>IF(ABS(F7)&lt;=G7,"OK","CHECK")</f>
        <v/>
      </c>
    </row>
    <row r="8">
      <c r="A8" t="inlineStr">
        <is>
          <t>KPIs (p.9)</t>
        </is>
      </c>
      <c r="B8" t="inlineStr">
        <is>
          <t>Occupancy</t>
        </is>
      </c>
      <c r="C8" t="n">
        <v>2026</v>
      </c>
      <c r="D8" s="21" t="n">
        <v>0.7</v>
      </c>
      <c r="E8" s="21">
        <f>Model!C8</f>
        <v/>
      </c>
      <c r="F8" s="21">
        <f>E8-D8</f>
        <v/>
      </c>
      <c r="G8" s="21" t="n">
        <v>0.005</v>
      </c>
      <c r="H8">
        <f>IF(ABS(F8)&lt;=G8,"OK","CHECK")</f>
        <v/>
      </c>
    </row>
    <row r="9">
      <c r="A9" t="inlineStr">
        <is>
          <t>KPIs (p.9)</t>
        </is>
      </c>
      <c r="B9" t="inlineStr">
        <is>
          <t>Occupancy</t>
        </is>
      </c>
      <c r="C9" t="n">
        <v>2027</v>
      </c>
      <c r="D9" s="21" t="n">
        <v>0.75</v>
      </c>
      <c r="E9" s="21">
        <f>Model!D8</f>
        <v/>
      </c>
      <c r="F9" s="21">
        <f>E9-D9</f>
        <v/>
      </c>
      <c r="G9" s="21" t="n">
        <v>0.005</v>
      </c>
      <c r="H9">
        <f>IF(ABS(F9)&lt;=G9,"OK","CHECK")</f>
        <v/>
      </c>
    </row>
    <row r="10">
      <c r="A10" t="inlineStr">
        <is>
          <t>KPIs (p.9)</t>
        </is>
      </c>
      <c r="B10" t="inlineStr">
        <is>
          <t>Occupancy</t>
        </is>
      </c>
      <c r="C10" t="n">
        <v>2028</v>
      </c>
      <c r="D10" s="21" t="n">
        <v>0.8</v>
      </c>
      <c r="E10" s="21">
        <f>Model!E8</f>
        <v/>
      </c>
      <c r="F10" s="21">
        <f>E10-D10</f>
        <v/>
      </c>
      <c r="G10" s="21" t="n">
        <v>0.005</v>
      </c>
      <c r="H10">
        <f>IF(ABS(F10)&lt;=G10,"OK","CHECK")</f>
        <v/>
      </c>
    </row>
    <row r="11">
      <c r="A11" t="inlineStr">
        <is>
          <t>KPIs (p.9)</t>
        </is>
      </c>
      <c r="B11" t="inlineStr">
        <is>
          <t>Occupancy</t>
        </is>
      </c>
      <c r="C11" t="n">
        <v>2029</v>
      </c>
      <c r="D11" s="21" t="n">
        <v>0.8</v>
      </c>
      <c r="E11" s="21">
        <f>Model!F8</f>
        <v/>
      </c>
      <c r="F11" s="21">
        <f>E11-D11</f>
        <v/>
      </c>
      <c r="G11" s="21" t="n">
        <v>0.005</v>
      </c>
      <c r="H11">
        <f>IF(ABS(F11)&lt;=G11,"OK","CHECK")</f>
        <v/>
      </c>
    </row>
    <row r="12">
      <c r="A12" t="inlineStr">
        <is>
          <t>KPIs (p.9)</t>
        </is>
      </c>
      <c r="B12" t="inlineStr">
        <is>
          <t>Occupancy</t>
        </is>
      </c>
      <c r="C12" t="n">
        <v>2030</v>
      </c>
      <c r="D12" s="21" t="n">
        <v>0.8</v>
      </c>
      <c r="E12" s="21">
        <f>Model!G8</f>
        <v/>
      </c>
      <c r="F12" s="21">
        <f>E12-D12</f>
        <v/>
      </c>
      <c r="G12" s="21" t="n">
        <v>0.005</v>
      </c>
      <c r="H12">
        <f>IF(ABS(F12)&lt;=G12,"OK","CHECK")</f>
        <v/>
      </c>
    </row>
    <row r="13">
      <c r="A13" t="inlineStr">
        <is>
          <t>KPIs (p.9)</t>
        </is>
      </c>
      <c r="B13" t="inlineStr">
        <is>
          <t>Occupancy</t>
        </is>
      </c>
      <c r="C13" t="n">
        <v>2031</v>
      </c>
      <c r="D13" s="21" t="n">
        <v>0.8</v>
      </c>
      <c r="E13" s="21">
        <f>Model!H8</f>
        <v/>
      </c>
      <c r="F13" s="21">
        <f>E13-D13</f>
        <v/>
      </c>
      <c r="G13" s="21" t="n">
        <v>0.005</v>
      </c>
      <c r="H13">
        <f>IF(ABS(F13)&lt;=G13,"OK","CHECK")</f>
        <v/>
      </c>
    </row>
    <row r="14">
      <c r="A14" t="inlineStr">
        <is>
          <t>KPIs (p.9)</t>
        </is>
      </c>
      <c r="B14" t="inlineStr">
        <is>
          <t>Occupancy</t>
        </is>
      </c>
      <c r="C14" t="n">
        <v>2032</v>
      </c>
      <c r="D14" s="21" t="n">
        <v>0.8</v>
      </c>
      <c r="E14" s="21">
        <f>Model!I8</f>
        <v/>
      </c>
      <c r="F14" s="21">
        <f>E14-D14</f>
        <v/>
      </c>
      <c r="G14" s="21" t="n">
        <v>0.005</v>
      </c>
      <c r="H14">
        <f>IF(ABS(F14)&lt;=G14,"OK","CHECK")</f>
        <v/>
      </c>
    </row>
    <row r="15">
      <c r="A15" t="inlineStr">
        <is>
          <t>KPIs (p.9)</t>
        </is>
      </c>
      <c r="B15" t="inlineStr">
        <is>
          <t>Occupancy</t>
        </is>
      </c>
      <c r="C15" t="n">
        <v>2033</v>
      </c>
      <c r="D15" s="21" t="n">
        <v>0.8</v>
      </c>
      <c r="E15" s="21">
        <f>Model!J8</f>
        <v/>
      </c>
      <c r="F15" s="21">
        <f>E15-D15</f>
        <v/>
      </c>
      <c r="G15" s="21" t="n">
        <v>0.005</v>
      </c>
      <c r="H15">
        <f>IF(ABS(F15)&lt;=G15,"OK","CHECK")</f>
        <v/>
      </c>
    </row>
    <row r="16">
      <c r="A16" t="inlineStr">
        <is>
          <t>KPIs (p.9)</t>
        </is>
      </c>
      <c r="B16" t="inlineStr">
        <is>
          <t>Occupancy</t>
        </is>
      </c>
      <c r="C16" t="n">
        <v>2034</v>
      </c>
      <c r="D16" s="21" t="n">
        <v>0.8</v>
      </c>
      <c r="E16" s="21">
        <f>Model!K8</f>
        <v/>
      </c>
      <c r="F16" s="21">
        <f>E16-D16</f>
        <v/>
      </c>
      <c r="G16" s="21" t="n">
        <v>0.005</v>
      </c>
      <c r="H16">
        <f>IF(ABS(F16)&lt;=G16,"OK","CHECK")</f>
        <v/>
      </c>
    </row>
    <row r="17">
      <c r="A17" t="inlineStr">
        <is>
          <t>KPIs (p.9)</t>
        </is>
      </c>
      <c r="B17" t="inlineStr">
        <is>
          <t>Occupied room nights</t>
        </is>
      </c>
      <c r="C17" t="n">
        <v>2025</v>
      </c>
      <c r="D17" s="20" t="n">
        <v>1186</v>
      </c>
      <c r="E17" s="20">
        <f>Model!B9</f>
        <v/>
      </c>
      <c r="F17" s="20">
        <f>E17-D17</f>
        <v/>
      </c>
      <c r="G17" s="20" t="n">
        <v>1</v>
      </c>
      <c r="H17">
        <f>IF(ABS(F17)&lt;=G17,"OK","CHECK")</f>
        <v/>
      </c>
    </row>
    <row r="18">
      <c r="A18" t="inlineStr">
        <is>
          <t>KPIs (p.9)</t>
        </is>
      </c>
      <c r="B18" t="inlineStr">
        <is>
          <t>Occupied room nights</t>
        </is>
      </c>
      <c r="C18" t="n">
        <v>2026</v>
      </c>
      <c r="D18" s="20" t="n">
        <v>1278</v>
      </c>
      <c r="E18" s="20">
        <f>Model!C9</f>
        <v/>
      </c>
      <c r="F18" s="20">
        <f>E18-D18</f>
        <v/>
      </c>
      <c r="G18" s="20" t="n">
        <v>1</v>
      </c>
      <c r="H18">
        <f>IF(ABS(F18)&lt;=G18,"OK","CHECK")</f>
        <v/>
      </c>
    </row>
    <row r="19">
      <c r="A19" t="inlineStr">
        <is>
          <t>KPIs (p.9)</t>
        </is>
      </c>
      <c r="B19" t="inlineStr">
        <is>
          <t>Occupied room nights</t>
        </is>
      </c>
      <c r="C19" t="n">
        <v>2027</v>
      </c>
      <c r="D19" s="20" t="n">
        <v>1369</v>
      </c>
      <c r="E19" s="20">
        <f>Model!D9</f>
        <v/>
      </c>
      <c r="F19" s="20">
        <f>E19-D19</f>
        <v/>
      </c>
      <c r="G19" s="20" t="n">
        <v>1</v>
      </c>
      <c r="H19">
        <f>IF(ABS(F19)&lt;=G19,"OK","CHECK")</f>
        <v/>
      </c>
    </row>
    <row r="20">
      <c r="A20" t="inlineStr">
        <is>
          <t>KPIs (p.9)</t>
        </is>
      </c>
      <c r="B20" t="inlineStr">
        <is>
          <t>Occupied room nights</t>
        </is>
      </c>
      <c r="C20" t="n">
        <v>2028</v>
      </c>
      <c r="D20" s="20" t="n">
        <v>1460</v>
      </c>
      <c r="E20" s="20">
        <f>Model!E9</f>
        <v/>
      </c>
      <c r="F20" s="20">
        <f>E20-D20</f>
        <v/>
      </c>
      <c r="G20" s="20" t="n">
        <v>1</v>
      </c>
      <c r="H20">
        <f>IF(ABS(F20)&lt;=G20,"OK","CHECK")</f>
        <v/>
      </c>
    </row>
    <row r="21">
      <c r="A21" t="inlineStr">
        <is>
          <t>KPIs (p.9)</t>
        </is>
      </c>
      <c r="B21" t="inlineStr">
        <is>
          <t>Occupied room nights</t>
        </is>
      </c>
      <c r="C21" t="n">
        <v>2029</v>
      </c>
      <c r="D21" s="20" t="n">
        <v>1460</v>
      </c>
      <c r="E21" s="20">
        <f>Model!F9</f>
        <v/>
      </c>
      <c r="F21" s="20">
        <f>E21-D21</f>
        <v/>
      </c>
      <c r="G21" s="20" t="n">
        <v>1</v>
      </c>
      <c r="H21">
        <f>IF(ABS(F21)&lt;=G21,"OK","CHECK")</f>
        <v/>
      </c>
    </row>
    <row r="22">
      <c r="A22" t="inlineStr">
        <is>
          <t>KPIs (p.9)</t>
        </is>
      </c>
      <c r="B22" t="inlineStr">
        <is>
          <t>Occupied room nights</t>
        </is>
      </c>
      <c r="C22" t="n">
        <v>2030</v>
      </c>
      <c r="D22" s="20" t="n">
        <v>1460</v>
      </c>
      <c r="E22" s="20">
        <f>Model!G9</f>
        <v/>
      </c>
      <c r="F22" s="20">
        <f>E22-D22</f>
        <v/>
      </c>
      <c r="G22" s="20" t="n">
        <v>1</v>
      </c>
      <c r="H22">
        <f>IF(ABS(F22)&lt;=G22,"OK","CHECK")</f>
        <v/>
      </c>
    </row>
    <row r="23">
      <c r="A23" t="inlineStr">
        <is>
          <t>KPIs (p.9)</t>
        </is>
      </c>
      <c r="B23" t="inlineStr">
        <is>
          <t>Occupied room nights</t>
        </is>
      </c>
      <c r="C23" t="n">
        <v>2031</v>
      </c>
      <c r="D23" s="20" t="n">
        <v>1460</v>
      </c>
      <c r="E23" s="20">
        <f>Model!H9</f>
        <v/>
      </c>
      <c r="F23" s="20">
        <f>E23-D23</f>
        <v/>
      </c>
      <c r="G23" s="20" t="n">
        <v>1</v>
      </c>
      <c r="H23">
        <f>IF(ABS(F23)&lt;=G23,"OK","CHECK")</f>
        <v/>
      </c>
    </row>
    <row r="24">
      <c r="A24" t="inlineStr">
        <is>
          <t>KPIs (p.9)</t>
        </is>
      </c>
      <c r="B24" t="inlineStr">
        <is>
          <t>Occupied room nights</t>
        </is>
      </c>
      <c r="C24" t="n">
        <v>2032</v>
      </c>
      <c r="D24" s="20" t="n">
        <v>1460</v>
      </c>
      <c r="E24" s="20">
        <f>Model!I9</f>
        <v/>
      </c>
      <c r="F24" s="20">
        <f>E24-D24</f>
        <v/>
      </c>
      <c r="G24" s="20" t="n">
        <v>1</v>
      </c>
      <c r="H24">
        <f>IF(ABS(F24)&lt;=G24,"OK","CHECK")</f>
        <v/>
      </c>
    </row>
    <row r="25">
      <c r="A25" t="inlineStr">
        <is>
          <t>KPIs (p.9)</t>
        </is>
      </c>
      <c r="B25" t="inlineStr">
        <is>
          <t>Occupied room nights</t>
        </is>
      </c>
      <c r="C25" t="n">
        <v>2033</v>
      </c>
      <c r="D25" s="20" t="n">
        <v>1460</v>
      </c>
      <c r="E25" s="20">
        <f>Model!J9</f>
        <v/>
      </c>
      <c r="F25" s="20">
        <f>E25-D25</f>
        <v/>
      </c>
      <c r="G25" s="20" t="n">
        <v>1</v>
      </c>
      <c r="H25">
        <f>IF(ABS(F25)&lt;=G25,"OK","CHECK")</f>
        <v/>
      </c>
    </row>
    <row r="26">
      <c r="A26" t="inlineStr">
        <is>
          <t>KPIs (p.9)</t>
        </is>
      </c>
      <c r="B26" t="inlineStr">
        <is>
          <t>Occupied room nights</t>
        </is>
      </c>
      <c r="C26" t="n">
        <v>2034</v>
      </c>
      <c r="D26" s="20" t="n">
        <v>1460</v>
      </c>
      <c r="E26" s="20">
        <f>Model!K9</f>
        <v/>
      </c>
      <c r="F26" s="20">
        <f>E26-D26</f>
        <v/>
      </c>
      <c r="G26" s="20" t="n">
        <v>1</v>
      </c>
      <c r="H26">
        <f>IF(ABS(F26)&lt;=G26,"OK","CHECK")</f>
        <v/>
      </c>
    </row>
    <row r="27">
      <c r="A27" t="inlineStr">
        <is>
          <t>KPIs (p.9)</t>
        </is>
      </c>
      <c r="B27" t="inlineStr">
        <is>
          <t>ADR</t>
        </is>
      </c>
      <c r="C27" t="n">
        <v>2025</v>
      </c>
      <c r="D27" s="22" t="n">
        <v>113</v>
      </c>
      <c r="E27" s="22">
        <f>Model!B10</f>
        <v/>
      </c>
      <c r="F27" s="22">
        <f>E27-D27</f>
        <v/>
      </c>
      <c r="G27" s="22" t="n">
        <v>0.51</v>
      </c>
      <c r="H27">
        <f>IF(ABS(F27)&lt;=G27,"OK","CHECK")</f>
        <v/>
      </c>
    </row>
    <row r="28">
      <c r="A28" t="inlineStr">
        <is>
          <t>KPIs (p.9)</t>
        </is>
      </c>
      <c r="B28" t="inlineStr">
        <is>
          <t>ADR</t>
        </is>
      </c>
      <c r="C28" t="n">
        <v>2026</v>
      </c>
      <c r="D28" s="22" t="n">
        <v>122</v>
      </c>
      <c r="E28" s="22">
        <f>Model!C10</f>
        <v/>
      </c>
      <c r="F28" s="22">
        <f>E28-D28</f>
        <v/>
      </c>
      <c r="G28" s="22" t="n">
        <v>0.51</v>
      </c>
      <c r="H28">
        <f>IF(ABS(F28)&lt;=G28,"OK","CHECK")</f>
        <v/>
      </c>
    </row>
    <row r="29">
      <c r="A29" t="inlineStr">
        <is>
          <t>KPIs (p.9)</t>
        </is>
      </c>
      <c r="B29" t="inlineStr">
        <is>
          <t>ADR</t>
        </is>
      </c>
      <c r="C29" t="n">
        <v>2027</v>
      </c>
      <c r="D29" s="22" t="n">
        <v>131</v>
      </c>
      <c r="E29" s="22">
        <f>Model!D10</f>
        <v/>
      </c>
      <c r="F29" s="22">
        <f>E29-D29</f>
        <v/>
      </c>
      <c r="G29" s="22" t="n">
        <v>0.51</v>
      </c>
      <c r="H29">
        <f>IF(ABS(F29)&lt;=G29,"OK","CHECK")</f>
        <v/>
      </c>
    </row>
    <row r="30">
      <c r="A30" t="inlineStr">
        <is>
          <t>KPIs (p.9)</t>
        </is>
      </c>
      <c r="B30" t="inlineStr">
        <is>
          <t>ADR</t>
        </is>
      </c>
      <c r="C30" t="n">
        <v>2028</v>
      </c>
      <c r="D30" s="22" t="n">
        <v>141</v>
      </c>
      <c r="E30" s="22">
        <f>Model!E10</f>
        <v/>
      </c>
      <c r="F30" s="22">
        <f>E30-D30</f>
        <v/>
      </c>
      <c r="G30" s="22" t="n">
        <v>0.51</v>
      </c>
      <c r="H30">
        <f>IF(ABS(F30)&lt;=G30,"OK","CHECK")</f>
        <v/>
      </c>
    </row>
    <row r="31">
      <c r="A31" t="inlineStr">
        <is>
          <t>KPIs (p.9)</t>
        </is>
      </c>
      <c r="B31" t="inlineStr">
        <is>
          <t>ADR</t>
        </is>
      </c>
      <c r="C31" t="n">
        <v>2029</v>
      </c>
      <c r="D31" s="22" t="n">
        <v>143</v>
      </c>
      <c r="E31" s="22">
        <f>Model!F10</f>
        <v/>
      </c>
      <c r="F31" s="22">
        <f>E31-D31</f>
        <v/>
      </c>
      <c r="G31" s="22" t="n">
        <v>0.51</v>
      </c>
      <c r="H31">
        <f>IF(ABS(F31)&lt;=G31,"OK","CHECK")</f>
        <v/>
      </c>
    </row>
    <row r="32">
      <c r="A32" t="inlineStr">
        <is>
          <t>KPIs (p.9)</t>
        </is>
      </c>
      <c r="B32" t="inlineStr">
        <is>
          <t>ADR</t>
        </is>
      </c>
      <c r="C32" t="n">
        <v>2030</v>
      </c>
      <c r="D32" s="22" t="n">
        <v>146</v>
      </c>
      <c r="E32" s="22">
        <f>Model!G10</f>
        <v/>
      </c>
      <c r="F32" s="22">
        <f>E32-D32</f>
        <v/>
      </c>
      <c r="G32" s="22" t="n">
        <v>0.51</v>
      </c>
      <c r="H32">
        <f>IF(ABS(F32)&lt;=G32,"OK","CHECK")</f>
        <v/>
      </c>
    </row>
    <row r="33">
      <c r="A33" t="inlineStr">
        <is>
          <t>KPIs (p.9)</t>
        </is>
      </c>
      <c r="B33" t="inlineStr">
        <is>
          <t>ADR</t>
        </is>
      </c>
      <c r="C33" t="n">
        <v>2031</v>
      </c>
      <c r="D33" s="22" t="n">
        <v>149</v>
      </c>
      <c r="E33" s="22">
        <f>Model!H10</f>
        <v/>
      </c>
      <c r="F33" s="22">
        <f>E33-D33</f>
        <v/>
      </c>
      <c r="G33" s="22" t="n">
        <v>0.51</v>
      </c>
      <c r="H33">
        <f>IF(ABS(F33)&lt;=G33,"OK","CHECK")</f>
        <v/>
      </c>
    </row>
    <row r="34">
      <c r="A34" t="inlineStr">
        <is>
          <t>KPIs (p.9)</t>
        </is>
      </c>
      <c r="B34" t="inlineStr">
        <is>
          <t>ADR</t>
        </is>
      </c>
      <c r="C34" t="n">
        <v>2032</v>
      </c>
      <c r="D34" s="22" t="n">
        <v>152</v>
      </c>
      <c r="E34" s="22">
        <f>Model!I10</f>
        <v/>
      </c>
      <c r="F34" s="22">
        <f>E34-D34</f>
        <v/>
      </c>
      <c r="G34" s="22" t="n">
        <v>0.51</v>
      </c>
      <c r="H34">
        <f>IF(ABS(F34)&lt;=G34,"OK","CHECK")</f>
        <v/>
      </c>
    </row>
    <row r="35">
      <c r="A35" t="inlineStr">
        <is>
          <t>KPIs (p.9)</t>
        </is>
      </c>
      <c r="B35" t="inlineStr">
        <is>
          <t>ADR</t>
        </is>
      </c>
      <c r="C35" t="n">
        <v>2033</v>
      </c>
      <c r="D35" s="22" t="n">
        <v>155</v>
      </c>
      <c r="E35" s="22">
        <f>Model!J10</f>
        <v/>
      </c>
      <c r="F35" s="22">
        <f>E35-D35</f>
        <v/>
      </c>
      <c r="G35" s="22" t="n">
        <v>0.51</v>
      </c>
      <c r="H35">
        <f>IF(ABS(F35)&lt;=G35,"OK","CHECK")</f>
        <v/>
      </c>
    </row>
    <row r="36">
      <c r="A36" t="inlineStr">
        <is>
          <t>KPIs (p.9)</t>
        </is>
      </c>
      <c r="B36" t="inlineStr">
        <is>
          <t>ADR</t>
        </is>
      </c>
      <c r="C36" t="n">
        <v>2034</v>
      </c>
      <c r="D36" s="22" t="n">
        <v>158</v>
      </c>
      <c r="E36" s="22">
        <f>Model!K10</f>
        <v/>
      </c>
      <c r="F36" s="22">
        <f>E36-D36</f>
        <v/>
      </c>
      <c r="G36" s="22" t="n">
        <v>0.51</v>
      </c>
      <c r="H36">
        <f>IF(ABS(F36)&lt;=G36,"OK","CHECK")</f>
        <v/>
      </c>
    </row>
    <row r="37">
      <c r="A37" t="inlineStr">
        <is>
          <t>KPIs (p.9)</t>
        </is>
      </c>
      <c r="B37" t="inlineStr">
        <is>
          <t>RevPAR</t>
        </is>
      </c>
      <c r="C37" t="n">
        <v>2025</v>
      </c>
      <c r="D37" s="22" t="n">
        <v>74</v>
      </c>
      <c r="E37" s="22">
        <f>Model!B11</f>
        <v/>
      </c>
      <c r="F37" s="22">
        <f>E37-D37</f>
        <v/>
      </c>
      <c r="G37" s="22" t="n">
        <v>0.51</v>
      </c>
      <c r="H37">
        <f>IF(ABS(F37)&lt;=G37,"OK","CHECK")</f>
        <v/>
      </c>
    </row>
    <row r="38">
      <c r="A38" t="inlineStr">
        <is>
          <t>KPIs (p.9)</t>
        </is>
      </c>
      <c r="B38" t="inlineStr">
        <is>
          <t>RevPAR</t>
        </is>
      </c>
      <c r="C38" t="n">
        <v>2026</v>
      </c>
      <c r="D38" s="22" t="n">
        <v>85</v>
      </c>
      <c r="E38" s="22">
        <f>Model!C11</f>
        <v/>
      </c>
      <c r="F38" s="22">
        <f>E38-D38</f>
        <v/>
      </c>
      <c r="G38" s="22" t="n">
        <v>0.51</v>
      </c>
      <c r="H38">
        <f>IF(ABS(F38)&lt;=G38,"OK","CHECK")</f>
        <v/>
      </c>
    </row>
    <row r="39">
      <c r="A39" t="inlineStr">
        <is>
          <t>KPIs (p.9)</t>
        </is>
      </c>
      <c r="B39" t="inlineStr">
        <is>
          <t>RevPAR</t>
        </is>
      </c>
      <c r="C39" t="n">
        <v>2027</v>
      </c>
      <c r="D39" s="22" t="n">
        <v>98</v>
      </c>
      <c r="E39" s="22">
        <f>Model!D11</f>
        <v/>
      </c>
      <c r="F39" s="22">
        <f>E39-D39</f>
        <v/>
      </c>
      <c r="G39" s="22" t="n">
        <v>0.51</v>
      </c>
      <c r="H39">
        <f>IF(ABS(F39)&lt;=G39,"OK","CHECK")</f>
        <v/>
      </c>
    </row>
    <row r="40">
      <c r="A40" t="inlineStr">
        <is>
          <t>KPIs (p.9)</t>
        </is>
      </c>
      <c r="B40" t="inlineStr">
        <is>
          <t>RevPAR</t>
        </is>
      </c>
      <c r="C40" t="n">
        <v>2028</v>
      </c>
      <c r="D40" s="22" t="n">
        <v>112</v>
      </c>
      <c r="E40" s="22">
        <f>Model!E11</f>
        <v/>
      </c>
      <c r="F40" s="22">
        <f>E40-D40</f>
        <v/>
      </c>
      <c r="G40" s="22" t="n">
        <v>0.51</v>
      </c>
      <c r="H40">
        <f>IF(ABS(F40)&lt;=G40,"OK","CHECK")</f>
        <v/>
      </c>
    </row>
    <row r="41">
      <c r="A41" t="inlineStr">
        <is>
          <t>KPIs (p.9)</t>
        </is>
      </c>
      <c r="B41" t="inlineStr">
        <is>
          <t>RevPAR</t>
        </is>
      </c>
      <c r="C41" t="n">
        <v>2029</v>
      </c>
      <c r="D41" s="22" t="n">
        <v>115</v>
      </c>
      <c r="E41" s="22">
        <f>Model!F11</f>
        <v/>
      </c>
      <c r="F41" s="22">
        <f>E41-D41</f>
        <v/>
      </c>
      <c r="G41" s="22" t="n">
        <v>0.51</v>
      </c>
      <c r="H41">
        <f>IF(ABS(F41)&lt;=G41,"OK","CHECK")</f>
        <v/>
      </c>
    </row>
    <row r="42">
      <c r="A42" t="inlineStr">
        <is>
          <t>KPIs (p.9)</t>
        </is>
      </c>
      <c r="B42" t="inlineStr">
        <is>
          <t>RevPAR</t>
        </is>
      </c>
      <c r="C42" t="n">
        <v>2030</v>
      </c>
      <c r="D42" s="22" t="n">
        <v>117</v>
      </c>
      <c r="E42" s="22">
        <f>Model!G11</f>
        <v/>
      </c>
      <c r="F42" s="22">
        <f>E42-D42</f>
        <v/>
      </c>
      <c r="G42" s="22" t="n">
        <v>0.51</v>
      </c>
      <c r="H42">
        <f>IF(ABS(F42)&lt;=G42,"OK","CHECK")</f>
        <v/>
      </c>
    </row>
    <row r="43">
      <c r="A43" t="inlineStr">
        <is>
          <t>KPIs (p.9)</t>
        </is>
      </c>
      <c r="B43" t="inlineStr">
        <is>
          <t>RevPAR</t>
        </is>
      </c>
      <c r="C43" t="n">
        <v>2031</v>
      </c>
      <c r="D43" s="22" t="n">
        <v>119</v>
      </c>
      <c r="E43" s="22">
        <f>Model!H11</f>
        <v/>
      </c>
      <c r="F43" s="22">
        <f>E43-D43</f>
        <v/>
      </c>
      <c r="G43" s="22" t="n">
        <v>0.51</v>
      </c>
      <c r="H43">
        <f>IF(ABS(F43)&lt;=G43,"OK","CHECK")</f>
        <v/>
      </c>
    </row>
    <row r="44">
      <c r="A44" t="inlineStr">
        <is>
          <t>KPIs (p.9)</t>
        </is>
      </c>
      <c r="B44" t="inlineStr">
        <is>
          <t>RevPAR</t>
        </is>
      </c>
      <c r="C44" t="n">
        <v>2032</v>
      </c>
      <c r="D44" s="22" t="n">
        <v>122</v>
      </c>
      <c r="E44" s="22">
        <f>Model!I11</f>
        <v/>
      </c>
      <c r="F44" s="22">
        <f>E44-D44</f>
        <v/>
      </c>
      <c r="G44" s="22" t="n">
        <v>0.51</v>
      </c>
      <c r="H44">
        <f>IF(ABS(F44)&lt;=G44,"OK","CHECK")</f>
        <v/>
      </c>
    </row>
    <row r="45">
      <c r="A45" t="inlineStr">
        <is>
          <t>KPIs (p.9)</t>
        </is>
      </c>
      <c r="B45" t="inlineStr">
        <is>
          <t>RevPAR</t>
        </is>
      </c>
      <c r="C45" t="n">
        <v>2033</v>
      </c>
      <c r="D45" s="22" t="n">
        <v>124</v>
      </c>
      <c r="E45" s="22">
        <f>Model!J11</f>
        <v/>
      </c>
      <c r="F45" s="22">
        <f>E45-D45</f>
        <v/>
      </c>
      <c r="G45" s="22" t="n">
        <v>0.51</v>
      </c>
      <c r="H45">
        <f>IF(ABS(F45)&lt;=G45,"OK","CHECK")</f>
        <v/>
      </c>
    </row>
    <row r="46">
      <c r="A46" t="inlineStr">
        <is>
          <t>KPIs (p.9)</t>
        </is>
      </c>
      <c r="B46" t="inlineStr">
        <is>
          <t>RevPAR</t>
        </is>
      </c>
      <c r="C46" t="n">
        <v>2034</v>
      </c>
      <c r="D46" s="22" t="n">
        <v>127</v>
      </c>
      <c r="E46" s="22">
        <f>Model!K11</f>
        <v/>
      </c>
      <c r="F46" s="22">
        <f>E46-D46</f>
        <v/>
      </c>
      <c r="G46" s="22" t="n">
        <v>0.51</v>
      </c>
      <c r="H46">
        <f>IF(ABS(F46)&lt;=G46,"OK","CHECK")</f>
        <v/>
      </c>
    </row>
    <row r="47">
      <c r="A47" t="inlineStr">
        <is>
          <t>P&amp;L (p.10)</t>
        </is>
      </c>
      <c r="B47" t="inlineStr">
        <is>
          <t>Room revenue</t>
        </is>
      </c>
      <c r="C47" t="n">
        <v>2025</v>
      </c>
      <c r="D47" s="20" t="n">
        <v>134308</v>
      </c>
      <c r="E47" s="20">
        <f>Model!B13</f>
        <v/>
      </c>
      <c r="F47" s="20">
        <f>E47-D47</f>
        <v/>
      </c>
      <c r="G47" s="20" t="n">
        <v>2</v>
      </c>
      <c r="H47">
        <f>IF(ABS(F47)&lt;=G47,"OK","CHECK")</f>
        <v/>
      </c>
    </row>
    <row r="48">
      <c r="A48" t="inlineStr">
        <is>
          <t>P&amp;L (p.10)</t>
        </is>
      </c>
      <c r="B48" t="inlineStr">
        <is>
          <t>Room revenue</t>
        </is>
      </c>
      <c r="C48" t="n">
        <v>2026</v>
      </c>
      <c r="D48" s="20" t="n">
        <v>155728</v>
      </c>
      <c r="E48" s="20">
        <f>Model!C13</f>
        <v/>
      </c>
      <c r="F48" s="20">
        <f>E48-D48</f>
        <v/>
      </c>
      <c r="G48" s="20" t="n">
        <v>2</v>
      </c>
      <c r="H48">
        <f>IF(ABS(F48)&lt;=G48,"OK","CHECK")</f>
        <v/>
      </c>
    </row>
    <row r="49">
      <c r="A49" t="inlineStr">
        <is>
          <t>P&amp;L (p.10)</t>
        </is>
      </c>
      <c r="B49" t="inlineStr">
        <is>
          <t>Room revenue</t>
        </is>
      </c>
      <c r="C49" t="n">
        <v>2027</v>
      </c>
      <c r="D49" s="20" t="n">
        <v>179146</v>
      </c>
      <c r="E49" s="20">
        <f>Model!D13</f>
        <v/>
      </c>
      <c r="F49" s="20">
        <f>E49-D49</f>
        <v/>
      </c>
      <c r="G49" s="20" t="n">
        <v>2</v>
      </c>
      <c r="H49">
        <f>IF(ABS(F49)&lt;=G49,"OK","CHECK")</f>
        <v/>
      </c>
    </row>
    <row r="50">
      <c r="A50" t="inlineStr">
        <is>
          <t>P&amp;L (p.10)</t>
        </is>
      </c>
      <c r="B50" t="inlineStr">
        <is>
          <t>Room revenue</t>
        </is>
      </c>
      <c r="C50" t="n">
        <v>2028</v>
      </c>
      <c r="D50" s="20" t="n">
        <v>205134</v>
      </c>
      <c r="E50" s="20">
        <f>Model!E13</f>
        <v/>
      </c>
      <c r="F50" s="20">
        <f>E50-D50</f>
        <v/>
      </c>
      <c r="G50" s="20" t="n">
        <v>2</v>
      </c>
      <c r="H50">
        <f>IF(ABS(F50)&lt;=G50,"OK","CHECK")</f>
        <v/>
      </c>
    </row>
    <row r="51">
      <c r="A51" t="inlineStr">
        <is>
          <t>P&amp;L (p.10)</t>
        </is>
      </c>
      <c r="B51" t="inlineStr">
        <is>
          <t>Room revenue</t>
        </is>
      </c>
      <c r="C51" t="n">
        <v>2029</v>
      </c>
      <c r="D51" s="20" t="n">
        <v>209237</v>
      </c>
      <c r="E51" s="20">
        <f>Model!F13</f>
        <v/>
      </c>
      <c r="F51" s="20">
        <f>E51-D51</f>
        <v/>
      </c>
      <c r="G51" s="20" t="n">
        <v>2</v>
      </c>
      <c r="H51">
        <f>IF(ABS(F51)&lt;=G51,"OK","CHECK")</f>
        <v/>
      </c>
    </row>
    <row r="52">
      <c r="A52" t="inlineStr">
        <is>
          <t>P&amp;L (p.10)</t>
        </is>
      </c>
      <c r="B52" t="inlineStr">
        <is>
          <t>Room revenue</t>
        </is>
      </c>
      <c r="C52" t="n">
        <v>2030</v>
      </c>
      <c r="D52" s="20" t="n">
        <v>213422</v>
      </c>
      <c r="E52" s="20">
        <f>Model!G13</f>
        <v/>
      </c>
      <c r="F52" s="20">
        <f>E52-D52</f>
        <v/>
      </c>
      <c r="G52" s="20" t="n">
        <v>2</v>
      </c>
      <c r="H52">
        <f>IF(ABS(F52)&lt;=G52,"OK","CHECK")</f>
        <v/>
      </c>
    </row>
    <row r="53">
      <c r="A53" t="inlineStr">
        <is>
          <t>P&amp;L (p.10)</t>
        </is>
      </c>
      <c r="B53" t="inlineStr">
        <is>
          <t>Room revenue</t>
        </is>
      </c>
      <c r="C53" t="n">
        <v>2031</v>
      </c>
      <c r="D53" s="20" t="n">
        <v>217690</v>
      </c>
      <c r="E53" s="20">
        <f>Model!H13</f>
        <v/>
      </c>
      <c r="F53" s="20">
        <f>E53-D53</f>
        <v/>
      </c>
      <c r="G53" s="20" t="n">
        <v>2</v>
      </c>
      <c r="H53">
        <f>IF(ABS(F53)&lt;=G53,"OK","CHECK")</f>
        <v/>
      </c>
    </row>
    <row r="54">
      <c r="A54" t="inlineStr">
        <is>
          <t>P&amp;L (p.10)</t>
        </is>
      </c>
      <c r="B54" t="inlineStr">
        <is>
          <t>Room revenue</t>
        </is>
      </c>
      <c r="C54" t="n">
        <v>2032</v>
      </c>
      <c r="D54" s="20" t="n">
        <v>222044</v>
      </c>
      <c r="E54" s="20">
        <f>Model!I13</f>
        <v/>
      </c>
      <c r="F54" s="20">
        <f>E54-D54</f>
        <v/>
      </c>
      <c r="G54" s="20" t="n">
        <v>2</v>
      </c>
      <c r="H54">
        <f>IF(ABS(F54)&lt;=G54,"OK","CHECK")</f>
        <v/>
      </c>
    </row>
    <row r="55">
      <c r="A55" t="inlineStr">
        <is>
          <t>P&amp;L (p.10)</t>
        </is>
      </c>
      <c r="B55" t="inlineStr">
        <is>
          <t>Room revenue</t>
        </is>
      </c>
      <c r="C55" t="n">
        <v>2033</v>
      </c>
      <c r="D55" s="20" t="n">
        <v>226485</v>
      </c>
      <c r="E55" s="20">
        <f>Model!J13</f>
        <v/>
      </c>
      <c r="F55" s="20">
        <f>E55-D55</f>
        <v/>
      </c>
      <c r="G55" s="20" t="n">
        <v>2</v>
      </c>
      <c r="H55">
        <f>IF(ABS(F55)&lt;=G55,"OK","CHECK")</f>
        <v/>
      </c>
    </row>
    <row r="56">
      <c r="A56" t="inlineStr">
        <is>
          <t>P&amp;L (p.10)</t>
        </is>
      </c>
      <c r="B56" t="inlineStr">
        <is>
          <t>Room revenue</t>
        </is>
      </c>
      <c r="C56" t="n">
        <v>2034</v>
      </c>
      <c r="D56" s="20" t="n">
        <v>231015</v>
      </c>
      <c r="E56" s="20">
        <f>Model!K13</f>
        <v/>
      </c>
      <c r="F56" s="20">
        <f>E56-D56</f>
        <v/>
      </c>
      <c r="G56" s="20" t="n">
        <v>2</v>
      </c>
      <c r="H56">
        <f>IF(ABS(F56)&lt;=G56,"OK","CHECK")</f>
        <v/>
      </c>
    </row>
    <row r="57">
      <c r="A57" t="inlineStr">
        <is>
          <t>P&amp;L (p.10)</t>
        </is>
      </c>
      <c r="B57" t="inlineStr">
        <is>
          <t>Food &amp; Beverages</t>
        </is>
      </c>
      <c r="C57" t="n">
        <v>2025</v>
      </c>
      <c r="D57" s="20" t="n">
        <v>1045493</v>
      </c>
      <c r="E57" s="20">
        <f>Model!B14</f>
        <v/>
      </c>
      <c r="F57" s="20">
        <f>E57-D57</f>
        <v/>
      </c>
      <c r="G57" s="20" t="n">
        <v>2</v>
      </c>
      <c r="H57">
        <f>IF(ABS(F57)&lt;=G57,"OK","CHECK")</f>
        <v/>
      </c>
    </row>
    <row r="58">
      <c r="A58" t="inlineStr">
        <is>
          <t>P&amp;L (p.10)</t>
        </is>
      </c>
      <c r="B58" t="inlineStr">
        <is>
          <t>Food &amp; Beverages</t>
        </is>
      </c>
      <c r="C58" t="n">
        <v>2026</v>
      </c>
      <c r="D58" s="20" t="n">
        <v>1332401</v>
      </c>
      <c r="E58" s="20">
        <f>Model!C14</f>
        <v/>
      </c>
      <c r="F58" s="20">
        <f>E58-D58</f>
        <v/>
      </c>
      <c r="G58" s="20" t="n">
        <v>2</v>
      </c>
      <c r="H58">
        <f>IF(ABS(F58)&lt;=G58,"OK","CHECK")</f>
        <v/>
      </c>
    </row>
    <row r="59">
      <c r="A59" t="inlineStr">
        <is>
          <t>P&amp;L (p.10)</t>
        </is>
      </c>
      <c r="B59" t="inlineStr">
        <is>
          <t>Food &amp; Beverages</t>
        </is>
      </c>
      <c r="C59" t="n">
        <v>2027</v>
      </c>
      <c r="D59" s="20" t="n">
        <v>1598479</v>
      </c>
      <c r="E59" s="20">
        <f>Model!D14</f>
        <v/>
      </c>
      <c r="F59" s="20">
        <f>E59-D59</f>
        <v/>
      </c>
      <c r="G59" s="20" t="n">
        <v>2</v>
      </c>
      <c r="H59">
        <f>IF(ABS(F59)&lt;=G59,"OK","CHECK")</f>
        <v/>
      </c>
    </row>
    <row r="60">
      <c r="A60" t="inlineStr">
        <is>
          <t>P&amp;L (p.10)</t>
        </is>
      </c>
      <c r="B60" t="inlineStr">
        <is>
          <t>Food &amp; Beverages</t>
        </is>
      </c>
      <c r="C60" t="n">
        <v>2028</v>
      </c>
      <c r="D60" s="20" t="n">
        <v>1811423</v>
      </c>
      <c r="E60" s="20">
        <f>Model!E14</f>
        <v/>
      </c>
      <c r="F60" s="20">
        <f>E60-D60</f>
        <v/>
      </c>
      <c r="G60" s="20" t="n">
        <v>2</v>
      </c>
      <c r="H60">
        <f>IF(ABS(F60)&lt;=G60,"OK","CHECK")</f>
        <v/>
      </c>
    </row>
    <row r="61">
      <c r="A61" t="inlineStr">
        <is>
          <t>P&amp;L (p.10)</t>
        </is>
      </c>
      <c r="B61" t="inlineStr">
        <is>
          <t>Food &amp; Beverages</t>
        </is>
      </c>
      <c r="C61" t="n">
        <v>2029</v>
      </c>
      <c r="D61" s="20" t="n">
        <v>1847652</v>
      </c>
      <c r="E61" s="20">
        <f>Model!F14</f>
        <v/>
      </c>
      <c r="F61" s="20">
        <f>E61-D61</f>
        <v/>
      </c>
      <c r="G61" s="20" t="n">
        <v>2</v>
      </c>
      <c r="H61">
        <f>IF(ABS(F61)&lt;=G61,"OK","CHECK")</f>
        <v/>
      </c>
    </row>
    <row r="62">
      <c r="A62" t="inlineStr">
        <is>
          <t>P&amp;L (p.10)</t>
        </is>
      </c>
      <c r="B62" t="inlineStr">
        <is>
          <t>Food &amp; Beverages</t>
        </is>
      </c>
      <c r="C62" t="n">
        <v>2030</v>
      </c>
      <c r="D62" s="20" t="n">
        <v>1884605</v>
      </c>
      <c r="E62" s="20">
        <f>Model!G14</f>
        <v/>
      </c>
      <c r="F62" s="20">
        <f>E62-D62</f>
        <v/>
      </c>
      <c r="G62" s="20" t="n">
        <v>2</v>
      </c>
      <c r="H62">
        <f>IF(ABS(F62)&lt;=G62,"OK","CHECK")</f>
        <v/>
      </c>
    </row>
    <row r="63">
      <c r="A63" t="inlineStr">
        <is>
          <t>P&amp;L (p.10)</t>
        </is>
      </c>
      <c r="B63" t="inlineStr">
        <is>
          <t>Food &amp; Beverages</t>
        </is>
      </c>
      <c r="C63" t="n">
        <v>2031</v>
      </c>
      <c r="D63" s="20" t="n">
        <v>1922297</v>
      </c>
      <c r="E63" s="20">
        <f>Model!H14</f>
        <v/>
      </c>
      <c r="F63" s="20">
        <f>E63-D63</f>
        <v/>
      </c>
      <c r="G63" s="20" t="n">
        <v>2</v>
      </c>
      <c r="H63">
        <f>IF(ABS(F63)&lt;=G63,"OK","CHECK")</f>
        <v/>
      </c>
    </row>
    <row r="64">
      <c r="A64" t="inlineStr">
        <is>
          <t>P&amp;L (p.10)</t>
        </is>
      </c>
      <c r="B64" t="inlineStr">
        <is>
          <t>Food &amp; Beverages</t>
        </is>
      </c>
      <c r="C64" t="n">
        <v>2032</v>
      </c>
      <c r="D64" s="20" t="n">
        <v>1960743</v>
      </c>
      <c r="E64" s="20">
        <f>Model!I14</f>
        <v/>
      </c>
      <c r="F64" s="20">
        <f>E64-D64</f>
        <v/>
      </c>
      <c r="G64" s="20" t="n">
        <v>2</v>
      </c>
      <c r="H64">
        <f>IF(ABS(F64)&lt;=G64,"OK","CHECK")</f>
        <v/>
      </c>
    </row>
    <row r="65">
      <c r="A65" t="inlineStr">
        <is>
          <t>P&amp;L (p.10)</t>
        </is>
      </c>
      <c r="B65" t="inlineStr">
        <is>
          <t>Food &amp; Beverages</t>
        </is>
      </c>
      <c r="C65" t="n">
        <v>2033</v>
      </c>
      <c r="D65" s="20" t="n">
        <v>1999958</v>
      </c>
      <c r="E65" s="20">
        <f>Model!J14</f>
        <v/>
      </c>
      <c r="F65" s="20">
        <f>E65-D65</f>
        <v/>
      </c>
      <c r="G65" s="20" t="n">
        <v>2</v>
      </c>
      <c r="H65">
        <f>IF(ABS(F65)&lt;=G65,"OK","CHECK")</f>
        <v/>
      </c>
    </row>
    <row r="66">
      <c r="A66" t="inlineStr">
        <is>
          <t>P&amp;L (p.10)</t>
        </is>
      </c>
      <c r="B66" t="inlineStr">
        <is>
          <t>Food &amp; Beverages</t>
        </is>
      </c>
      <c r="C66" t="n">
        <v>2034</v>
      </c>
      <c r="D66" s="20" t="n">
        <v>2039957</v>
      </c>
      <c r="E66" s="20">
        <f>Model!K14</f>
        <v/>
      </c>
      <c r="F66" s="20">
        <f>E66-D66</f>
        <v/>
      </c>
      <c r="G66" s="20" t="n">
        <v>2</v>
      </c>
      <c r="H66">
        <f>IF(ABS(F66)&lt;=G66,"OK","CHECK")</f>
        <v/>
      </c>
    </row>
    <row r="67">
      <c r="A67" t="inlineStr">
        <is>
          <t>P&amp;L (p.10)</t>
        </is>
      </c>
      <c r="B67" t="inlineStr">
        <is>
          <t>Total revenue</t>
        </is>
      </c>
      <c r="C67" t="n">
        <v>2025</v>
      </c>
      <c r="D67" s="20" t="n">
        <v>1179801</v>
      </c>
      <c r="E67" s="20">
        <f>Model!B15</f>
        <v/>
      </c>
      <c r="F67" s="20">
        <f>E67-D67</f>
        <v/>
      </c>
      <c r="G67" s="20" t="n">
        <v>2</v>
      </c>
      <c r="H67">
        <f>IF(ABS(F67)&lt;=G67,"OK","CHECK")</f>
        <v/>
      </c>
    </row>
    <row r="68">
      <c r="A68" t="inlineStr">
        <is>
          <t>P&amp;L (p.10)</t>
        </is>
      </c>
      <c r="B68" t="inlineStr">
        <is>
          <t>Total revenue</t>
        </is>
      </c>
      <c r="C68" t="n">
        <v>2026</v>
      </c>
      <c r="D68" s="20" t="n">
        <v>1488129</v>
      </c>
      <c r="E68" s="20">
        <f>Model!C15</f>
        <v/>
      </c>
      <c r="F68" s="20">
        <f>E68-D68</f>
        <v/>
      </c>
      <c r="G68" s="20" t="n">
        <v>2</v>
      </c>
      <c r="H68">
        <f>IF(ABS(F68)&lt;=G68,"OK","CHECK")</f>
        <v/>
      </c>
    </row>
    <row r="69">
      <c r="A69" t="inlineStr">
        <is>
          <t>P&amp;L (p.10)</t>
        </is>
      </c>
      <c r="B69" t="inlineStr">
        <is>
          <t>Total revenue</t>
        </is>
      </c>
      <c r="C69" t="n">
        <v>2027</v>
      </c>
      <c r="D69" s="20" t="n">
        <v>1777626</v>
      </c>
      <c r="E69" s="20">
        <f>Model!D15</f>
        <v/>
      </c>
      <c r="F69" s="20">
        <f>E69-D69</f>
        <v/>
      </c>
      <c r="G69" s="20" t="n">
        <v>2</v>
      </c>
      <c r="H69">
        <f>IF(ABS(F69)&lt;=G69,"OK","CHECK")</f>
        <v/>
      </c>
    </row>
    <row r="70">
      <c r="A70" t="inlineStr">
        <is>
          <t>P&amp;L (p.10)</t>
        </is>
      </c>
      <c r="B70" t="inlineStr">
        <is>
          <t>Total revenue</t>
        </is>
      </c>
      <c r="C70" t="n">
        <v>2028</v>
      </c>
      <c r="D70" s="20" t="n">
        <v>2016558</v>
      </c>
      <c r="E70" s="20">
        <f>Model!E15</f>
        <v/>
      </c>
      <c r="F70" s="20">
        <f>E70-D70</f>
        <v/>
      </c>
      <c r="G70" s="20" t="n">
        <v>2</v>
      </c>
      <c r="H70">
        <f>IF(ABS(F70)&lt;=G70,"OK","CHECK")</f>
        <v/>
      </c>
    </row>
    <row r="71">
      <c r="A71" t="inlineStr">
        <is>
          <t>P&amp;L (p.10)</t>
        </is>
      </c>
      <c r="B71" t="inlineStr">
        <is>
          <t>Total revenue</t>
        </is>
      </c>
      <c r="C71" t="n">
        <v>2029</v>
      </c>
      <c r="D71" s="20" t="n">
        <v>2056889</v>
      </c>
      <c r="E71" s="20">
        <f>Model!F15</f>
        <v/>
      </c>
      <c r="F71" s="20">
        <f>E71-D71</f>
        <v/>
      </c>
      <c r="G71" s="20" t="n">
        <v>2</v>
      </c>
      <c r="H71">
        <f>IF(ABS(F71)&lt;=G71,"OK","CHECK")</f>
        <v/>
      </c>
    </row>
    <row r="72">
      <c r="A72" t="inlineStr">
        <is>
          <t>P&amp;L (p.10)</t>
        </is>
      </c>
      <c r="B72" t="inlineStr">
        <is>
          <t>Total revenue</t>
        </is>
      </c>
      <c r="C72" t="n">
        <v>2030</v>
      </c>
      <c r="D72" s="20" t="n">
        <v>2098027</v>
      </c>
      <c r="E72" s="20">
        <f>Model!G15</f>
        <v/>
      </c>
      <c r="F72" s="20">
        <f>E72-D72</f>
        <v/>
      </c>
      <c r="G72" s="20" t="n">
        <v>2</v>
      </c>
      <c r="H72">
        <f>IF(ABS(F72)&lt;=G72,"OK","CHECK")</f>
        <v/>
      </c>
    </row>
    <row r="73">
      <c r="A73" t="inlineStr">
        <is>
          <t>P&amp;L (p.10)</t>
        </is>
      </c>
      <c r="B73" t="inlineStr">
        <is>
          <t>Total revenue</t>
        </is>
      </c>
      <c r="C73" t="n">
        <v>2031</v>
      </c>
      <c r="D73" s="20" t="n">
        <v>2139987</v>
      </c>
      <c r="E73" s="20">
        <f>Model!H15</f>
        <v/>
      </c>
      <c r="F73" s="20">
        <f>E73-D73</f>
        <v/>
      </c>
      <c r="G73" s="20" t="n">
        <v>2</v>
      </c>
      <c r="H73">
        <f>IF(ABS(F73)&lt;=G73,"OK","CHECK")</f>
        <v/>
      </c>
    </row>
    <row r="74">
      <c r="A74" t="inlineStr">
        <is>
          <t>P&amp;L (p.10)</t>
        </is>
      </c>
      <c r="B74" t="inlineStr">
        <is>
          <t>Total revenue</t>
        </is>
      </c>
      <c r="C74" t="n">
        <v>2032</v>
      </c>
      <c r="D74" s="20" t="n">
        <v>2182787</v>
      </c>
      <c r="E74" s="20">
        <f>Model!I15</f>
        <v/>
      </c>
      <c r="F74" s="20">
        <f>E74-D74</f>
        <v/>
      </c>
      <c r="G74" s="20" t="n">
        <v>2</v>
      </c>
      <c r="H74">
        <f>IF(ABS(F74)&lt;=G74,"OK","CHECK")</f>
        <v/>
      </c>
    </row>
    <row r="75">
      <c r="A75" t="inlineStr">
        <is>
          <t>P&amp;L (p.10)</t>
        </is>
      </c>
      <c r="B75" t="inlineStr">
        <is>
          <t>Total revenue</t>
        </is>
      </c>
      <c r="C75" t="n">
        <v>2033</v>
      </c>
      <c r="D75" s="20" t="n">
        <v>2226443</v>
      </c>
      <c r="E75" s="20">
        <f>Model!J15</f>
        <v/>
      </c>
      <c r="F75" s="20">
        <f>E75-D75</f>
        <v/>
      </c>
      <c r="G75" s="20" t="n">
        <v>2</v>
      </c>
      <c r="H75">
        <f>IF(ABS(F75)&lt;=G75,"OK","CHECK")</f>
        <v/>
      </c>
    </row>
    <row r="76">
      <c r="A76" t="inlineStr">
        <is>
          <t>P&amp;L (p.10)</t>
        </is>
      </c>
      <c r="B76" t="inlineStr">
        <is>
          <t>Total revenue</t>
        </is>
      </c>
      <c r="C76" t="n">
        <v>2034</v>
      </c>
      <c r="D76" s="20" t="n">
        <v>2270972</v>
      </c>
      <c r="E76" s="20">
        <f>Model!K15</f>
        <v/>
      </c>
      <c r="F76" s="20">
        <f>E76-D76</f>
        <v/>
      </c>
      <c r="G76" s="20" t="n">
        <v>2</v>
      </c>
      <c r="H76">
        <f>IF(ABS(F76)&lt;=G76,"OK","CHECK")</f>
        <v/>
      </c>
    </row>
    <row r="77">
      <c r="A77" t="inlineStr">
        <is>
          <t>P&amp;L (p.10)</t>
        </is>
      </c>
      <c r="B77" t="inlineStr">
        <is>
          <t>Rooms expense</t>
        </is>
      </c>
      <c r="C77" t="n">
        <v>2025</v>
      </c>
      <c r="D77" s="20" t="n">
        <v>16499</v>
      </c>
      <c r="E77" s="20">
        <f>Model!B17</f>
        <v/>
      </c>
      <c r="F77" s="20">
        <f>E77-D77</f>
        <v/>
      </c>
      <c r="G77" s="20" t="n">
        <v>2</v>
      </c>
      <c r="H77">
        <f>IF(ABS(F77)&lt;=G77,"OK","CHECK")</f>
        <v/>
      </c>
    </row>
    <row r="78">
      <c r="A78" t="inlineStr">
        <is>
          <t>P&amp;L (p.10)</t>
        </is>
      </c>
      <c r="B78" t="inlineStr">
        <is>
          <t>Rooms expense</t>
        </is>
      </c>
      <c r="C78" t="n">
        <v>2026</v>
      </c>
      <c r="D78" s="20" t="n">
        <v>18632</v>
      </c>
      <c r="E78" s="20">
        <f>Model!C17</f>
        <v/>
      </c>
      <c r="F78" s="20">
        <f>E78-D78</f>
        <v/>
      </c>
      <c r="G78" s="20" t="n">
        <v>2</v>
      </c>
      <c r="H78">
        <f>IF(ABS(F78)&lt;=G78,"OK","CHECK")</f>
        <v/>
      </c>
    </row>
    <row r="79">
      <c r="A79" t="inlineStr">
        <is>
          <t>P&amp;L (p.10)</t>
        </is>
      </c>
      <c r="B79" t="inlineStr">
        <is>
          <t>Rooms expense</t>
        </is>
      </c>
      <c r="C79" t="n">
        <v>2027</v>
      </c>
      <c r="D79" s="20" t="n">
        <v>20917</v>
      </c>
      <c r="E79" s="20">
        <f>Model!D17</f>
        <v/>
      </c>
      <c r="F79" s="20">
        <f>E79-D79</f>
        <v/>
      </c>
      <c r="G79" s="20" t="n">
        <v>2</v>
      </c>
      <c r="H79">
        <f>IF(ABS(F79)&lt;=G79,"OK","CHECK")</f>
        <v/>
      </c>
    </row>
    <row r="80">
      <c r="A80" t="inlineStr">
        <is>
          <t>P&amp;L (p.10)</t>
        </is>
      </c>
      <c r="B80" t="inlineStr">
        <is>
          <t>Rooms expense</t>
        </is>
      </c>
      <c r="C80" t="n">
        <v>2028</v>
      </c>
      <c r="D80" s="20" t="n">
        <v>23390</v>
      </c>
      <c r="E80" s="20">
        <f>Model!E17</f>
        <v/>
      </c>
      <c r="F80" s="20">
        <f>E80-D80</f>
        <v/>
      </c>
      <c r="G80" s="20" t="n">
        <v>2</v>
      </c>
      <c r="H80">
        <f>IF(ABS(F80)&lt;=G80,"OK","CHECK")</f>
        <v/>
      </c>
    </row>
    <row r="81">
      <c r="A81" t="inlineStr">
        <is>
          <t>P&amp;L (p.10)</t>
        </is>
      </c>
      <c r="B81" t="inlineStr">
        <is>
          <t>Rooms expense</t>
        </is>
      </c>
      <c r="C81" t="n">
        <v>2029</v>
      </c>
      <c r="D81" s="20" t="n">
        <v>23858</v>
      </c>
      <c r="E81" s="20">
        <f>Model!F17</f>
        <v/>
      </c>
      <c r="F81" s="20">
        <f>E81-D81</f>
        <v/>
      </c>
      <c r="G81" s="20" t="n">
        <v>2</v>
      </c>
      <c r="H81">
        <f>IF(ABS(F81)&lt;=G81,"OK","CHECK")</f>
        <v/>
      </c>
    </row>
    <row r="82">
      <c r="A82" t="inlineStr">
        <is>
          <t>P&amp;L (p.10)</t>
        </is>
      </c>
      <c r="B82" t="inlineStr">
        <is>
          <t>Rooms expense</t>
        </is>
      </c>
      <c r="C82" t="n">
        <v>2030</v>
      </c>
      <c r="D82" s="20" t="n">
        <v>24335</v>
      </c>
      <c r="E82" s="20">
        <f>Model!G17</f>
        <v/>
      </c>
      <c r="F82" s="20">
        <f>E82-D82</f>
        <v/>
      </c>
      <c r="G82" s="20" t="n">
        <v>2</v>
      </c>
      <c r="H82">
        <f>IF(ABS(F82)&lt;=G82,"OK","CHECK")</f>
        <v/>
      </c>
    </row>
    <row r="83">
      <c r="A83" t="inlineStr">
        <is>
          <t>P&amp;L (p.10)</t>
        </is>
      </c>
      <c r="B83" t="inlineStr">
        <is>
          <t>Rooms expense</t>
        </is>
      </c>
      <c r="C83" t="n">
        <v>2031</v>
      </c>
      <c r="D83" s="20" t="n">
        <v>24822</v>
      </c>
      <c r="E83" s="20">
        <f>Model!H17</f>
        <v/>
      </c>
      <c r="F83" s="20">
        <f>E83-D83</f>
        <v/>
      </c>
      <c r="G83" s="20" t="n">
        <v>2</v>
      </c>
      <c r="H83">
        <f>IF(ABS(F83)&lt;=G83,"OK","CHECK")</f>
        <v/>
      </c>
    </row>
    <row r="84">
      <c r="A84" t="inlineStr">
        <is>
          <t>P&amp;L (p.10)</t>
        </is>
      </c>
      <c r="B84" t="inlineStr">
        <is>
          <t>Rooms expense</t>
        </is>
      </c>
      <c r="C84" t="n">
        <v>2032</v>
      </c>
      <c r="D84" s="20" t="n">
        <v>25319</v>
      </c>
      <c r="E84" s="20">
        <f>Model!I17</f>
        <v/>
      </c>
      <c r="F84" s="20">
        <f>E84-D84</f>
        <v/>
      </c>
      <c r="G84" s="20" t="n">
        <v>2</v>
      </c>
      <c r="H84">
        <f>IF(ABS(F84)&lt;=G84,"OK","CHECK")</f>
        <v/>
      </c>
    </row>
    <row r="85">
      <c r="A85" t="inlineStr">
        <is>
          <t>P&amp;L (p.10)</t>
        </is>
      </c>
      <c r="B85" t="inlineStr">
        <is>
          <t>Rooms expense</t>
        </is>
      </c>
      <c r="C85" t="n">
        <v>2033</v>
      </c>
      <c r="D85" s="20" t="n">
        <v>25825</v>
      </c>
      <c r="E85" s="20">
        <f>Model!J17</f>
        <v/>
      </c>
      <c r="F85" s="20">
        <f>E85-D85</f>
        <v/>
      </c>
      <c r="G85" s="20" t="n">
        <v>2</v>
      </c>
      <c r="H85">
        <f>IF(ABS(F85)&lt;=G85,"OK","CHECK")</f>
        <v/>
      </c>
    </row>
    <row r="86">
      <c r="A86" t="inlineStr">
        <is>
          <t>P&amp;L (p.10)</t>
        </is>
      </c>
      <c r="B86" t="inlineStr">
        <is>
          <t>Rooms expense</t>
        </is>
      </c>
      <c r="C86" t="n">
        <v>2034</v>
      </c>
      <c r="D86" s="20" t="n">
        <v>26341</v>
      </c>
      <c r="E86" s="20">
        <f>Model!K17</f>
        <v/>
      </c>
      <c r="F86" s="20">
        <f>E86-D86</f>
        <v/>
      </c>
      <c r="G86" s="20" t="n">
        <v>2</v>
      </c>
      <c r="H86">
        <f>IF(ABS(F86)&lt;=G86,"OK","CHECK")</f>
        <v/>
      </c>
    </row>
    <row r="87">
      <c r="A87" t="inlineStr">
        <is>
          <t>P&amp;L (p.10)</t>
        </is>
      </c>
      <c r="B87" t="inlineStr">
        <is>
          <t>F&amp;B expense</t>
        </is>
      </c>
      <c r="C87" t="n">
        <v>2025</v>
      </c>
      <c r="D87" s="20" t="n">
        <v>392060</v>
      </c>
      <c r="E87" s="20">
        <f>Model!B18</f>
        <v/>
      </c>
      <c r="F87" s="20">
        <f>E87-D87</f>
        <v/>
      </c>
      <c r="G87" s="20" t="n">
        <v>2</v>
      </c>
      <c r="H87">
        <f>IF(ABS(F87)&lt;=G87,"OK","CHECK")</f>
        <v/>
      </c>
    </row>
    <row r="88">
      <c r="A88" t="inlineStr">
        <is>
          <t>P&amp;L (p.10)</t>
        </is>
      </c>
      <c r="B88" t="inlineStr">
        <is>
          <t>F&amp;B expense</t>
        </is>
      </c>
      <c r="C88" t="n">
        <v>2026</v>
      </c>
      <c r="D88" s="20" t="n">
        <v>499650</v>
      </c>
      <c r="E88" s="20">
        <f>Model!C18</f>
        <v/>
      </c>
      <c r="F88" s="20">
        <f>E88-D88</f>
        <v/>
      </c>
      <c r="G88" s="20" t="n">
        <v>2</v>
      </c>
      <c r="H88">
        <f>IF(ABS(F88)&lt;=G88,"OK","CHECK")</f>
        <v/>
      </c>
    </row>
    <row r="89">
      <c r="A89" t="inlineStr">
        <is>
          <t>P&amp;L (p.10)</t>
        </is>
      </c>
      <c r="B89" t="inlineStr">
        <is>
          <t>F&amp;B expense</t>
        </is>
      </c>
      <c r="C89" t="n">
        <v>2027</v>
      </c>
      <c r="D89" s="20" t="n">
        <v>599430</v>
      </c>
      <c r="E89" s="20">
        <f>Model!D18</f>
        <v/>
      </c>
      <c r="F89" s="20">
        <f>E89-D89</f>
        <v/>
      </c>
      <c r="G89" s="20" t="n">
        <v>2</v>
      </c>
      <c r="H89">
        <f>IF(ABS(F89)&lt;=G89,"OK","CHECK")</f>
        <v/>
      </c>
    </row>
    <row r="90">
      <c r="A90" t="inlineStr">
        <is>
          <t>P&amp;L (p.10)</t>
        </is>
      </c>
      <c r="B90" t="inlineStr">
        <is>
          <t>F&amp;B expense</t>
        </is>
      </c>
      <c r="C90" t="n">
        <v>2028</v>
      </c>
      <c r="D90" s="20" t="n">
        <v>679284</v>
      </c>
      <c r="E90" s="20">
        <f>Model!E18</f>
        <v/>
      </c>
      <c r="F90" s="20">
        <f>E90-D90</f>
        <v/>
      </c>
      <c r="G90" s="20" t="n">
        <v>2</v>
      </c>
      <c r="H90">
        <f>IF(ABS(F90)&lt;=G90,"OK","CHECK")</f>
        <v/>
      </c>
    </row>
    <row r="91">
      <c r="A91" t="inlineStr">
        <is>
          <t>P&amp;L (p.10)</t>
        </is>
      </c>
      <c r="B91" t="inlineStr">
        <is>
          <t>F&amp;B expense</t>
        </is>
      </c>
      <c r="C91" t="n">
        <v>2029</v>
      </c>
      <c r="D91" s="20" t="n">
        <v>692869</v>
      </c>
      <c r="E91" s="20">
        <f>Model!F18</f>
        <v/>
      </c>
      <c r="F91" s="20">
        <f>E91-D91</f>
        <v/>
      </c>
      <c r="G91" s="20" t="n">
        <v>2</v>
      </c>
      <c r="H91">
        <f>IF(ABS(F91)&lt;=G91,"OK","CHECK")</f>
        <v/>
      </c>
    </row>
    <row r="92">
      <c r="A92" t="inlineStr">
        <is>
          <t>P&amp;L (p.10)</t>
        </is>
      </c>
      <c r="B92" t="inlineStr">
        <is>
          <t>F&amp;B expense</t>
        </is>
      </c>
      <c r="C92" t="n">
        <v>2030</v>
      </c>
      <c r="D92" s="20" t="n">
        <v>706727</v>
      </c>
      <c r="E92" s="20">
        <f>Model!G18</f>
        <v/>
      </c>
      <c r="F92" s="20">
        <f>E92-D92</f>
        <v/>
      </c>
      <c r="G92" s="20" t="n">
        <v>2</v>
      </c>
      <c r="H92">
        <f>IF(ABS(F92)&lt;=G92,"OK","CHECK")</f>
        <v/>
      </c>
    </row>
    <row r="93">
      <c r="A93" t="inlineStr">
        <is>
          <t>P&amp;L (p.10)</t>
        </is>
      </c>
      <c r="B93" t="inlineStr">
        <is>
          <t>F&amp;B expense</t>
        </is>
      </c>
      <c r="C93" t="n">
        <v>2031</v>
      </c>
      <c r="D93" s="20" t="n">
        <v>720861</v>
      </c>
      <c r="E93" s="20">
        <f>Model!H18</f>
        <v/>
      </c>
      <c r="F93" s="20">
        <f>E93-D93</f>
        <v/>
      </c>
      <c r="G93" s="20" t="n">
        <v>2</v>
      </c>
      <c r="H93">
        <f>IF(ABS(F93)&lt;=G93,"OK","CHECK")</f>
        <v/>
      </c>
    </row>
    <row r="94">
      <c r="A94" t="inlineStr">
        <is>
          <t>P&amp;L (p.10)</t>
        </is>
      </c>
      <c r="B94" t="inlineStr">
        <is>
          <t>F&amp;B expense</t>
        </is>
      </c>
      <c r="C94" t="n">
        <v>2032</v>
      </c>
      <c r="D94" s="20" t="n">
        <v>735279</v>
      </c>
      <c r="E94" s="20">
        <f>Model!I18</f>
        <v/>
      </c>
      <c r="F94" s="20">
        <f>E94-D94</f>
        <v/>
      </c>
      <c r="G94" s="20" t="n">
        <v>2</v>
      </c>
      <c r="H94">
        <f>IF(ABS(F94)&lt;=G94,"OK","CHECK")</f>
        <v/>
      </c>
    </row>
    <row r="95">
      <c r="A95" t="inlineStr">
        <is>
          <t>P&amp;L (p.10)</t>
        </is>
      </c>
      <c r="B95" t="inlineStr">
        <is>
          <t>F&amp;B expense</t>
        </is>
      </c>
      <c r="C95" t="n">
        <v>2033</v>
      </c>
      <c r="D95" s="20" t="n">
        <v>749984</v>
      </c>
      <c r="E95" s="20">
        <f>Model!J18</f>
        <v/>
      </c>
      <c r="F95" s="20">
        <f>E95-D95</f>
        <v/>
      </c>
      <c r="G95" s="20" t="n">
        <v>2</v>
      </c>
      <c r="H95">
        <f>IF(ABS(F95)&lt;=G95,"OK","CHECK")</f>
        <v/>
      </c>
    </row>
    <row r="96">
      <c r="A96" t="inlineStr">
        <is>
          <t>P&amp;L (p.10)</t>
        </is>
      </c>
      <c r="B96" t="inlineStr">
        <is>
          <t>F&amp;B expense</t>
        </is>
      </c>
      <c r="C96" t="n">
        <v>2034</v>
      </c>
      <c r="D96" s="20" t="n">
        <v>764984</v>
      </c>
      <c r="E96" s="20">
        <f>Model!K18</f>
        <v/>
      </c>
      <c r="F96" s="20">
        <f>E96-D96</f>
        <v/>
      </c>
      <c r="G96" s="20" t="n">
        <v>2</v>
      </c>
      <c r="H96">
        <f>IF(ABS(F96)&lt;=G96,"OK","CHECK")</f>
        <v/>
      </c>
    </row>
    <row r="97">
      <c r="A97" t="inlineStr">
        <is>
          <t>P&amp;L (p.10)</t>
        </is>
      </c>
      <c r="B97" t="inlineStr">
        <is>
          <t>Staff</t>
        </is>
      </c>
      <c r="C97" t="n">
        <v>2025</v>
      </c>
      <c r="D97" s="20" t="n">
        <v>533868</v>
      </c>
      <c r="E97" s="20">
        <f>Model!B19</f>
        <v/>
      </c>
      <c r="F97" s="20">
        <f>E97-D97</f>
        <v/>
      </c>
      <c r="G97" s="20" t="n">
        <v>2</v>
      </c>
      <c r="H97">
        <f>IF(ABS(F97)&lt;=G97,"OK","CHECK")</f>
        <v/>
      </c>
    </row>
    <row r="98">
      <c r="A98" t="inlineStr">
        <is>
          <t>P&amp;L (p.10)</t>
        </is>
      </c>
      <c r="B98" t="inlineStr">
        <is>
          <t>Staff</t>
        </is>
      </c>
      <c r="C98" t="n">
        <v>2026</v>
      </c>
      <c r="D98" s="20" t="n">
        <v>544545</v>
      </c>
      <c r="E98" s="20">
        <f>Model!C19</f>
        <v/>
      </c>
      <c r="F98" s="20">
        <f>E98-D98</f>
        <v/>
      </c>
      <c r="G98" s="20" t="n">
        <v>2</v>
      </c>
      <c r="H98">
        <f>IF(ABS(F98)&lt;=G98,"OK","CHECK")</f>
        <v/>
      </c>
    </row>
    <row r="99">
      <c r="A99" t="inlineStr">
        <is>
          <t>P&amp;L (p.10)</t>
        </is>
      </c>
      <c r="B99" t="inlineStr">
        <is>
          <t>Staff</t>
        </is>
      </c>
      <c r="C99" t="n">
        <v>2027</v>
      </c>
      <c r="D99" s="20" t="n">
        <v>555436</v>
      </c>
      <c r="E99" s="20">
        <f>Model!D19</f>
        <v/>
      </c>
      <c r="F99" s="20">
        <f>E99-D99</f>
        <v/>
      </c>
      <c r="G99" s="20" t="n">
        <v>2</v>
      </c>
      <c r="H99">
        <f>IF(ABS(F99)&lt;=G99,"OK","CHECK")</f>
        <v/>
      </c>
    </row>
    <row r="100">
      <c r="A100" t="inlineStr">
        <is>
          <t>P&amp;L (p.10)</t>
        </is>
      </c>
      <c r="B100" t="inlineStr">
        <is>
          <t>Staff</t>
        </is>
      </c>
      <c r="C100" t="n">
        <v>2028</v>
      </c>
      <c r="D100" s="20" t="n">
        <v>566545</v>
      </c>
      <c r="E100" s="20">
        <f>Model!E19</f>
        <v/>
      </c>
      <c r="F100" s="20">
        <f>E100-D100</f>
        <v/>
      </c>
      <c r="G100" s="20" t="n">
        <v>2</v>
      </c>
      <c r="H100">
        <f>IF(ABS(F100)&lt;=G100,"OK","CHECK")</f>
        <v/>
      </c>
    </row>
    <row r="101">
      <c r="A101" t="inlineStr">
        <is>
          <t>P&amp;L (p.10)</t>
        </is>
      </c>
      <c r="B101" t="inlineStr">
        <is>
          <t>Staff</t>
        </is>
      </c>
      <c r="C101" t="n">
        <v>2029</v>
      </c>
      <c r="D101" s="20" t="n">
        <v>577876</v>
      </c>
      <c r="E101" s="20">
        <f>Model!F19</f>
        <v/>
      </c>
      <c r="F101" s="20">
        <f>E101-D101</f>
        <v/>
      </c>
      <c r="G101" s="20" t="n">
        <v>2</v>
      </c>
      <c r="H101">
        <f>IF(ABS(F101)&lt;=G101,"OK","CHECK")</f>
        <v/>
      </c>
    </row>
    <row r="102">
      <c r="A102" t="inlineStr">
        <is>
          <t>P&amp;L (p.10)</t>
        </is>
      </c>
      <c r="B102" t="inlineStr">
        <is>
          <t>Staff</t>
        </is>
      </c>
      <c r="C102" t="n">
        <v>2030</v>
      </c>
      <c r="D102" s="20" t="n">
        <v>589433</v>
      </c>
      <c r="E102" s="20">
        <f>Model!G19</f>
        <v/>
      </c>
      <c r="F102" s="20">
        <f>E102-D102</f>
        <v/>
      </c>
      <c r="G102" s="20" t="n">
        <v>2</v>
      </c>
      <c r="H102">
        <f>IF(ABS(F102)&lt;=G102,"OK","CHECK")</f>
        <v/>
      </c>
    </row>
    <row r="103">
      <c r="A103" t="inlineStr">
        <is>
          <t>P&amp;L (p.10)</t>
        </is>
      </c>
      <c r="B103" t="inlineStr">
        <is>
          <t>Staff</t>
        </is>
      </c>
      <c r="C103" t="n">
        <v>2031</v>
      </c>
      <c r="D103" s="20" t="n">
        <v>601222</v>
      </c>
      <c r="E103" s="20">
        <f>Model!H19</f>
        <v/>
      </c>
      <c r="F103" s="20">
        <f>E103-D103</f>
        <v/>
      </c>
      <c r="G103" s="20" t="n">
        <v>2</v>
      </c>
      <c r="H103">
        <f>IF(ABS(F103)&lt;=G103,"OK","CHECK")</f>
        <v/>
      </c>
    </row>
    <row r="104">
      <c r="A104" t="inlineStr">
        <is>
          <t>P&amp;L (p.10)</t>
        </is>
      </c>
      <c r="B104" t="inlineStr">
        <is>
          <t>Staff</t>
        </is>
      </c>
      <c r="C104" t="n">
        <v>2032</v>
      </c>
      <c r="D104" s="20" t="n">
        <v>613247</v>
      </c>
      <c r="E104" s="20">
        <f>Model!I19</f>
        <v/>
      </c>
      <c r="F104" s="20">
        <f>E104-D104</f>
        <v/>
      </c>
      <c r="G104" s="20" t="n">
        <v>2</v>
      </c>
      <c r="H104">
        <f>IF(ABS(F104)&lt;=G104,"OK","CHECK")</f>
        <v/>
      </c>
    </row>
    <row r="105">
      <c r="A105" t="inlineStr">
        <is>
          <t>P&amp;L (p.10)</t>
        </is>
      </c>
      <c r="B105" t="inlineStr">
        <is>
          <t>Staff</t>
        </is>
      </c>
      <c r="C105" t="n">
        <v>2033</v>
      </c>
      <c r="D105" s="20" t="n">
        <v>625511</v>
      </c>
      <c r="E105" s="20">
        <f>Model!J19</f>
        <v/>
      </c>
      <c r="F105" s="20">
        <f>E105-D105</f>
        <v/>
      </c>
      <c r="G105" s="20" t="n">
        <v>2</v>
      </c>
      <c r="H105">
        <f>IF(ABS(F105)&lt;=G105,"OK","CHECK")</f>
        <v/>
      </c>
    </row>
    <row r="106">
      <c r="A106" t="inlineStr">
        <is>
          <t>P&amp;L (p.10)</t>
        </is>
      </c>
      <c r="B106" t="inlineStr">
        <is>
          <t>Staff</t>
        </is>
      </c>
      <c r="C106" t="n">
        <v>2034</v>
      </c>
      <c r="D106" s="20" t="n">
        <v>638022</v>
      </c>
      <c r="E106" s="20">
        <f>Model!K19</f>
        <v/>
      </c>
      <c r="F106" s="20">
        <f>E106-D106</f>
        <v/>
      </c>
      <c r="G106" s="20" t="n">
        <v>2</v>
      </c>
      <c r="H106">
        <f>IF(ABS(F106)&lt;=G106,"OK","CHECK")</f>
        <v/>
      </c>
    </row>
    <row r="107">
      <c r="A107" t="inlineStr">
        <is>
          <t>P&amp;L (p.10)</t>
        </is>
      </c>
      <c r="B107" t="inlineStr">
        <is>
          <t>Total departmental expenses</t>
        </is>
      </c>
      <c r="C107" t="n">
        <v>2025</v>
      </c>
      <c r="D107" s="20" t="n">
        <v>942427</v>
      </c>
      <c r="E107" s="20">
        <f>Model!B20</f>
        <v/>
      </c>
      <c r="F107" s="20">
        <f>E107-D107</f>
        <v/>
      </c>
      <c r="G107" s="20" t="n">
        <v>2</v>
      </c>
      <c r="H107">
        <f>IF(ABS(F107)&lt;=G107,"OK","CHECK")</f>
        <v/>
      </c>
    </row>
    <row r="108">
      <c r="A108" t="inlineStr">
        <is>
          <t>P&amp;L (p.10)</t>
        </is>
      </c>
      <c r="B108" t="inlineStr">
        <is>
          <t>Total departmental expenses</t>
        </is>
      </c>
      <c r="C108" t="n">
        <v>2026</v>
      </c>
      <c r="D108" s="20" t="n">
        <v>1062827</v>
      </c>
      <c r="E108" s="20">
        <f>Model!C20</f>
        <v/>
      </c>
      <c r="F108" s="20">
        <f>E108-D108</f>
        <v/>
      </c>
      <c r="G108" s="20" t="n">
        <v>2</v>
      </c>
      <c r="H108">
        <f>IF(ABS(F108)&lt;=G108,"OK","CHECK")</f>
        <v/>
      </c>
    </row>
    <row r="109">
      <c r="A109" t="inlineStr">
        <is>
          <t>P&amp;L (p.10)</t>
        </is>
      </c>
      <c r="B109" t="inlineStr">
        <is>
          <t>Total departmental expenses</t>
        </is>
      </c>
      <c r="C109" t="n">
        <v>2027</v>
      </c>
      <c r="D109" s="20" t="n">
        <v>1175783</v>
      </c>
      <c r="E109" s="20">
        <f>Model!D20</f>
        <v/>
      </c>
      <c r="F109" s="20">
        <f>E109-D109</f>
        <v/>
      </c>
      <c r="G109" s="20" t="n">
        <v>2</v>
      </c>
      <c r="H109">
        <f>IF(ABS(F109)&lt;=G109,"OK","CHECK")</f>
        <v/>
      </c>
    </row>
    <row r="110">
      <c r="A110" t="inlineStr">
        <is>
          <t>P&amp;L (p.10)</t>
        </is>
      </c>
      <c r="B110" t="inlineStr">
        <is>
          <t>Total departmental expenses</t>
        </is>
      </c>
      <c r="C110" t="n">
        <v>2028</v>
      </c>
      <c r="D110" s="20" t="n">
        <v>1269219</v>
      </c>
      <c r="E110" s="20">
        <f>Model!E20</f>
        <v/>
      </c>
      <c r="F110" s="20">
        <f>E110-D110</f>
        <v/>
      </c>
      <c r="G110" s="20" t="n">
        <v>2</v>
      </c>
      <c r="H110">
        <f>IF(ABS(F110)&lt;=G110,"OK","CHECK")</f>
        <v/>
      </c>
    </row>
    <row r="111">
      <c r="A111" t="inlineStr">
        <is>
          <t>P&amp;L (p.10)</t>
        </is>
      </c>
      <c r="B111" t="inlineStr">
        <is>
          <t>Total departmental expenses</t>
        </is>
      </c>
      <c r="C111" t="n">
        <v>2029</v>
      </c>
      <c r="D111" s="20" t="n">
        <v>1294604</v>
      </c>
      <c r="E111" s="20">
        <f>Model!F20</f>
        <v/>
      </c>
      <c r="F111" s="20">
        <f>E111-D111</f>
        <v/>
      </c>
      <c r="G111" s="20" t="n">
        <v>2</v>
      </c>
      <c r="H111">
        <f>IF(ABS(F111)&lt;=G111,"OK","CHECK")</f>
        <v/>
      </c>
    </row>
    <row r="112">
      <c r="A112" t="inlineStr">
        <is>
          <t>P&amp;L (p.10)</t>
        </is>
      </c>
      <c r="B112" t="inlineStr">
        <is>
          <t>Total departmental expenses</t>
        </is>
      </c>
      <c r="C112" t="n">
        <v>2030</v>
      </c>
      <c r="D112" s="20" t="n">
        <v>1320496</v>
      </c>
      <c r="E112" s="20">
        <f>Model!G20</f>
        <v/>
      </c>
      <c r="F112" s="20">
        <f>E112-D112</f>
        <v/>
      </c>
      <c r="G112" s="20" t="n">
        <v>2</v>
      </c>
      <c r="H112">
        <f>IF(ABS(F112)&lt;=G112,"OK","CHECK")</f>
        <v/>
      </c>
    </row>
    <row r="113">
      <c r="A113" t="inlineStr">
        <is>
          <t>P&amp;L (p.10)</t>
        </is>
      </c>
      <c r="B113" t="inlineStr">
        <is>
          <t>Total departmental expenses</t>
        </is>
      </c>
      <c r="C113" t="n">
        <v>2031</v>
      </c>
      <c r="D113" s="20" t="n">
        <v>1346906</v>
      </c>
      <c r="E113" s="20">
        <f>Model!H20</f>
        <v/>
      </c>
      <c r="F113" s="20">
        <f>E113-D113</f>
        <v/>
      </c>
      <c r="G113" s="20" t="n">
        <v>2</v>
      </c>
      <c r="H113">
        <f>IF(ABS(F113)&lt;=G113,"OK","CHECK")</f>
        <v/>
      </c>
    </row>
    <row r="114">
      <c r="A114" t="inlineStr">
        <is>
          <t>P&amp;L (p.10)</t>
        </is>
      </c>
      <c r="B114" t="inlineStr">
        <is>
          <t>Total departmental expenses</t>
        </is>
      </c>
      <c r="C114" t="n">
        <v>2032</v>
      </c>
      <c r="D114" s="20" t="n">
        <v>1373844</v>
      </c>
      <c r="E114" s="20">
        <f>Model!I20</f>
        <v/>
      </c>
      <c r="F114" s="20">
        <f>E114-D114</f>
        <v/>
      </c>
      <c r="G114" s="20" t="n">
        <v>2</v>
      </c>
      <c r="H114">
        <f>IF(ABS(F114)&lt;=G114,"OK","CHECK")</f>
        <v/>
      </c>
    </row>
    <row r="115">
      <c r="A115" t="inlineStr">
        <is>
          <t>P&amp;L (p.10)</t>
        </is>
      </c>
      <c r="B115" t="inlineStr">
        <is>
          <t>Total departmental expenses</t>
        </is>
      </c>
      <c r="C115" t="n">
        <v>2033</v>
      </c>
      <c r="D115" s="20" t="n">
        <v>1401320</v>
      </c>
      <c r="E115" s="20">
        <f>Model!J20</f>
        <v/>
      </c>
      <c r="F115" s="20">
        <f>E115-D115</f>
        <v/>
      </c>
      <c r="G115" s="20" t="n">
        <v>2</v>
      </c>
      <c r="H115">
        <f>IF(ABS(F115)&lt;=G115,"OK","CHECK")</f>
        <v/>
      </c>
    </row>
    <row r="116">
      <c r="A116" t="inlineStr">
        <is>
          <t>P&amp;L (p.10)</t>
        </is>
      </c>
      <c r="B116" t="inlineStr">
        <is>
          <t>Total departmental expenses</t>
        </is>
      </c>
      <c r="C116" t="n">
        <v>2034</v>
      </c>
      <c r="D116" s="20" t="n">
        <v>1429347</v>
      </c>
      <c r="E116" s="20">
        <f>Model!K20</f>
        <v/>
      </c>
      <c r="F116" s="20">
        <f>E116-D116</f>
        <v/>
      </c>
      <c r="G116" s="20" t="n">
        <v>2</v>
      </c>
      <c r="H116">
        <f>IF(ABS(F116)&lt;=G116,"OK","CHECK")</f>
        <v/>
      </c>
    </row>
    <row r="117">
      <c r="A117" t="inlineStr">
        <is>
          <t>P&amp;L (p.10)</t>
        </is>
      </c>
      <c r="B117" t="inlineStr">
        <is>
          <t>Departmental income</t>
        </is>
      </c>
      <c r="C117" t="n">
        <v>2025</v>
      </c>
      <c r="D117" s="20" t="n">
        <v>237375</v>
      </c>
      <c r="E117" s="20">
        <f>Model!B22</f>
        <v/>
      </c>
      <c r="F117" s="20">
        <f>E117-D117</f>
        <v/>
      </c>
      <c r="G117" s="20" t="n">
        <v>2</v>
      </c>
      <c r="H117">
        <f>IF(ABS(F117)&lt;=G117,"OK","CHECK")</f>
        <v/>
      </c>
    </row>
    <row r="118">
      <c r="A118" t="inlineStr">
        <is>
          <t>P&amp;L (p.10)</t>
        </is>
      </c>
      <c r="B118" t="inlineStr">
        <is>
          <t>Departmental income</t>
        </is>
      </c>
      <c r="C118" t="n">
        <v>2026</v>
      </c>
      <c r="D118" s="20" t="n">
        <v>425302</v>
      </c>
      <c r="E118" s="20">
        <f>Model!C22</f>
        <v/>
      </c>
      <c r="F118" s="20">
        <f>E118-D118</f>
        <v/>
      </c>
      <c r="G118" s="20" t="n">
        <v>2</v>
      </c>
      <c r="H118">
        <f>IF(ABS(F118)&lt;=G118,"OK","CHECK")</f>
        <v/>
      </c>
    </row>
    <row r="119">
      <c r="A119" t="inlineStr">
        <is>
          <t>P&amp;L (p.10)</t>
        </is>
      </c>
      <c r="B119" t="inlineStr">
        <is>
          <t>Departmental income</t>
        </is>
      </c>
      <c r="C119" t="n">
        <v>2027</v>
      </c>
      <c r="D119" s="20" t="n">
        <v>601842</v>
      </c>
      <c r="E119" s="20">
        <f>Model!D22</f>
        <v/>
      </c>
      <c r="F119" s="20">
        <f>E119-D119</f>
        <v/>
      </c>
      <c r="G119" s="20" t="n">
        <v>2</v>
      </c>
      <c r="H119">
        <f>IF(ABS(F119)&lt;=G119,"OK","CHECK")</f>
        <v/>
      </c>
    </row>
    <row r="120">
      <c r="A120" t="inlineStr">
        <is>
          <t>P&amp;L (p.10)</t>
        </is>
      </c>
      <c r="B120" t="inlineStr">
        <is>
          <t>Departmental income</t>
        </is>
      </c>
      <c r="C120" t="n">
        <v>2028</v>
      </c>
      <c r="D120" s="20" t="n">
        <v>747339</v>
      </c>
      <c r="E120" s="20">
        <f>Model!E22</f>
        <v/>
      </c>
      <c r="F120" s="20">
        <f>E120-D120</f>
        <v/>
      </c>
      <c r="G120" s="20" t="n">
        <v>2</v>
      </c>
      <c r="H120">
        <f>IF(ABS(F120)&lt;=G120,"OK","CHECK")</f>
        <v/>
      </c>
    </row>
    <row r="121">
      <c r="A121" t="inlineStr">
        <is>
          <t>P&amp;L (p.10)</t>
        </is>
      </c>
      <c r="B121" t="inlineStr">
        <is>
          <t>Departmental income</t>
        </is>
      </c>
      <c r="C121" t="n">
        <v>2029</v>
      </c>
      <c r="D121" s="20" t="n">
        <v>762285</v>
      </c>
      <c r="E121" s="20">
        <f>Model!F22</f>
        <v/>
      </c>
      <c r="F121" s="20">
        <f>E121-D121</f>
        <v/>
      </c>
      <c r="G121" s="20" t="n">
        <v>2</v>
      </c>
      <c r="H121">
        <f>IF(ABS(F121)&lt;=G121,"OK","CHECK")</f>
        <v/>
      </c>
    </row>
    <row r="122">
      <c r="A122" t="inlineStr">
        <is>
          <t>P&amp;L (p.10)</t>
        </is>
      </c>
      <c r="B122" t="inlineStr">
        <is>
          <t>Departmental income</t>
        </is>
      </c>
      <c r="C122" t="n">
        <v>2030</v>
      </c>
      <c r="D122" s="20" t="n">
        <v>777531</v>
      </c>
      <c r="E122" s="20">
        <f>Model!G22</f>
        <v/>
      </c>
      <c r="F122" s="20">
        <f>E122-D122</f>
        <v/>
      </c>
      <c r="G122" s="20" t="n">
        <v>2</v>
      </c>
      <c r="H122">
        <f>IF(ABS(F122)&lt;=G122,"OK","CHECK")</f>
        <v/>
      </c>
    </row>
    <row r="123">
      <c r="A123" t="inlineStr">
        <is>
          <t>P&amp;L (p.10)</t>
        </is>
      </c>
      <c r="B123" t="inlineStr">
        <is>
          <t>Departmental income</t>
        </is>
      </c>
      <c r="C123" t="n">
        <v>2031</v>
      </c>
      <c r="D123" s="20" t="n">
        <v>793082</v>
      </c>
      <c r="E123" s="20">
        <f>Model!H22</f>
        <v/>
      </c>
      <c r="F123" s="20">
        <f>E123-D123</f>
        <v/>
      </c>
      <c r="G123" s="20" t="n">
        <v>2</v>
      </c>
      <c r="H123">
        <f>IF(ABS(F123)&lt;=G123,"OK","CHECK")</f>
        <v/>
      </c>
    </row>
    <row r="124">
      <c r="A124" t="inlineStr">
        <is>
          <t>P&amp;L (p.10)</t>
        </is>
      </c>
      <c r="B124" t="inlineStr">
        <is>
          <t>Departmental income</t>
        </is>
      </c>
      <c r="C124" t="n">
        <v>2032</v>
      </c>
      <c r="D124" s="20" t="n">
        <v>808943</v>
      </c>
      <c r="E124" s="20">
        <f>Model!I22</f>
        <v/>
      </c>
      <c r="F124" s="20">
        <f>E124-D124</f>
        <v/>
      </c>
      <c r="G124" s="20" t="n">
        <v>2</v>
      </c>
      <c r="H124">
        <f>IF(ABS(F124)&lt;=G124,"OK","CHECK")</f>
        <v/>
      </c>
    </row>
    <row r="125">
      <c r="A125" t="inlineStr">
        <is>
          <t>P&amp;L (p.10)</t>
        </is>
      </c>
      <c r="B125" t="inlineStr">
        <is>
          <t>Departmental income</t>
        </is>
      </c>
      <c r="C125" t="n">
        <v>2033</v>
      </c>
      <c r="D125" s="20" t="n">
        <v>825122</v>
      </c>
      <c r="E125" s="20">
        <f>Model!J22</f>
        <v/>
      </c>
      <c r="F125" s="20">
        <f>E125-D125</f>
        <v/>
      </c>
      <c r="G125" s="20" t="n">
        <v>2</v>
      </c>
      <c r="H125">
        <f>IF(ABS(F125)&lt;=G125,"OK","CHECK")</f>
        <v/>
      </c>
    </row>
    <row r="126">
      <c r="A126" t="inlineStr">
        <is>
          <t>P&amp;L (p.10)</t>
        </is>
      </c>
      <c r="B126" t="inlineStr">
        <is>
          <t>Departmental income</t>
        </is>
      </c>
      <c r="C126" t="n">
        <v>2034</v>
      </c>
      <c r="D126" s="20" t="n">
        <v>841625</v>
      </c>
      <c r="E126" s="20">
        <f>Model!K22</f>
        <v/>
      </c>
      <c r="F126" s="20">
        <f>E126-D126</f>
        <v/>
      </c>
      <c r="G126" s="20" t="n">
        <v>2</v>
      </c>
      <c r="H126">
        <f>IF(ABS(F126)&lt;=G126,"OK","CHECK")</f>
        <v/>
      </c>
    </row>
    <row r="127">
      <c r="A127" t="inlineStr">
        <is>
          <t>P&amp;L (p.10)</t>
        </is>
      </c>
      <c r="B127" t="inlineStr">
        <is>
          <t>Administrative and General</t>
        </is>
      </c>
      <c r="C127" t="n">
        <v>2025</v>
      </c>
      <c r="D127" s="20" t="n">
        <v>105808</v>
      </c>
      <c r="E127" s="20">
        <f>Model!B25</f>
        <v/>
      </c>
      <c r="F127" s="20">
        <f>E127-D127</f>
        <v/>
      </c>
      <c r="G127" s="20" t="n">
        <v>2</v>
      </c>
      <c r="H127">
        <f>IF(ABS(F127)&lt;=G127,"OK","CHECK")</f>
        <v/>
      </c>
    </row>
    <row r="128">
      <c r="A128" t="inlineStr">
        <is>
          <t>P&amp;L (p.10)</t>
        </is>
      </c>
      <c r="B128" t="inlineStr">
        <is>
          <t>Administrative and General</t>
        </is>
      </c>
      <c r="C128" t="n">
        <v>2026</v>
      </c>
      <c r="D128" s="20" t="n">
        <v>113619</v>
      </c>
      <c r="E128" s="20">
        <f>Model!C25</f>
        <v/>
      </c>
      <c r="F128" s="20">
        <f>E128-D128</f>
        <v/>
      </c>
      <c r="G128" s="20" t="n">
        <v>2</v>
      </c>
      <c r="H128">
        <f>IF(ABS(F128)&lt;=G128,"OK","CHECK")</f>
        <v/>
      </c>
    </row>
    <row r="129">
      <c r="A129" t="inlineStr">
        <is>
          <t>P&amp;L (p.10)</t>
        </is>
      </c>
      <c r="B129" t="inlineStr">
        <is>
          <t>Administrative and General</t>
        </is>
      </c>
      <c r="C129" t="n">
        <v>2027</v>
      </c>
      <c r="D129" s="20" t="n">
        <v>121086</v>
      </c>
      <c r="E129" s="20">
        <f>Model!D25</f>
        <v/>
      </c>
      <c r="F129" s="20">
        <f>E129-D129</f>
        <v/>
      </c>
      <c r="G129" s="20" t="n">
        <v>2</v>
      </c>
      <c r="H129">
        <f>IF(ABS(F129)&lt;=G129,"OK","CHECK")</f>
        <v/>
      </c>
    </row>
    <row r="130">
      <c r="A130" t="inlineStr">
        <is>
          <t>P&amp;L (p.10)</t>
        </is>
      </c>
      <c r="B130" t="inlineStr">
        <is>
          <t>Administrative and General</t>
        </is>
      </c>
      <c r="C130" t="n">
        <v>2028</v>
      </c>
      <c r="D130" s="20" t="n">
        <v>127575</v>
      </c>
      <c r="E130" s="20">
        <f>Model!E25</f>
        <v/>
      </c>
      <c r="F130" s="20">
        <f>E130-D130</f>
        <v/>
      </c>
      <c r="G130" s="20" t="n">
        <v>2</v>
      </c>
      <c r="H130">
        <f>IF(ABS(F130)&lt;=G130,"OK","CHECK")</f>
        <v/>
      </c>
    </row>
    <row r="131">
      <c r="A131" t="inlineStr">
        <is>
          <t>P&amp;L (p.10)</t>
        </is>
      </c>
      <c r="B131" t="inlineStr">
        <is>
          <t>Administrative and General</t>
        </is>
      </c>
      <c r="C131" t="n">
        <v>2029</v>
      </c>
      <c r="D131" s="20" t="n">
        <v>130127</v>
      </c>
      <c r="E131" s="20">
        <f>Model!F25</f>
        <v/>
      </c>
      <c r="F131" s="20">
        <f>E131-D131</f>
        <v/>
      </c>
      <c r="G131" s="20" t="n">
        <v>2</v>
      </c>
      <c r="H131">
        <f>IF(ABS(F131)&lt;=G131,"OK","CHECK")</f>
        <v/>
      </c>
    </row>
    <row r="132">
      <c r="A132" t="inlineStr">
        <is>
          <t>P&amp;L (p.10)</t>
        </is>
      </c>
      <c r="B132" t="inlineStr">
        <is>
          <t>Administrative and General</t>
        </is>
      </c>
      <c r="C132" t="n">
        <v>2030</v>
      </c>
      <c r="D132" s="20" t="n">
        <v>132729</v>
      </c>
      <c r="E132" s="20">
        <f>Model!G25</f>
        <v/>
      </c>
      <c r="F132" s="20">
        <f>E132-D132</f>
        <v/>
      </c>
      <c r="G132" s="20" t="n">
        <v>2</v>
      </c>
      <c r="H132">
        <f>IF(ABS(F132)&lt;=G132,"OK","CHECK")</f>
        <v/>
      </c>
    </row>
    <row r="133">
      <c r="A133" t="inlineStr">
        <is>
          <t>P&amp;L (p.10)</t>
        </is>
      </c>
      <c r="B133" t="inlineStr">
        <is>
          <t>Administrative and General</t>
        </is>
      </c>
      <c r="C133" t="n">
        <v>2031</v>
      </c>
      <c r="D133" s="20" t="n">
        <v>135384</v>
      </c>
      <c r="E133" s="20">
        <f>Model!H25</f>
        <v/>
      </c>
      <c r="F133" s="20">
        <f>E133-D133</f>
        <v/>
      </c>
      <c r="G133" s="20" t="n">
        <v>2</v>
      </c>
      <c r="H133">
        <f>IF(ABS(F133)&lt;=G133,"OK","CHECK")</f>
        <v/>
      </c>
    </row>
    <row r="134">
      <c r="A134" t="inlineStr">
        <is>
          <t>P&amp;L (p.10)</t>
        </is>
      </c>
      <c r="B134" t="inlineStr">
        <is>
          <t>Administrative and General</t>
        </is>
      </c>
      <c r="C134" t="n">
        <v>2032</v>
      </c>
      <c r="D134" s="20" t="n">
        <v>138091</v>
      </c>
      <c r="E134" s="20">
        <f>Model!I25</f>
        <v/>
      </c>
      <c r="F134" s="20">
        <f>E134-D134</f>
        <v/>
      </c>
      <c r="G134" s="20" t="n">
        <v>2</v>
      </c>
      <c r="H134">
        <f>IF(ABS(F134)&lt;=G134,"OK","CHECK")</f>
        <v/>
      </c>
    </row>
    <row r="135">
      <c r="A135" t="inlineStr">
        <is>
          <t>P&amp;L (p.10)</t>
        </is>
      </c>
      <c r="B135" t="inlineStr">
        <is>
          <t>Administrative and General</t>
        </is>
      </c>
      <c r="C135" t="n">
        <v>2033</v>
      </c>
      <c r="D135" s="20" t="n">
        <v>140853</v>
      </c>
      <c r="E135" s="20">
        <f>Model!J25</f>
        <v/>
      </c>
      <c r="F135" s="20">
        <f>E135-D135</f>
        <v/>
      </c>
      <c r="G135" s="20" t="n">
        <v>2</v>
      </c>
      <c r="H135">
        <f>IF(ABS(F135)&lt;=G135,"OK","CHECK")</f>
        <v/>
      </c>
    </row>
    <row r="136">
      <c r="A136" t="inlineStr">
        <is>
          <t>P&amp;L (p.10)</t>
        </is>
      </c>
      <c r="B136" t="inlineStr">
        <is>
          <t>Administrative and General</t>
        </is>
      </c>
      <c r="C136" t="n">
        <v>2034</v>
      </c>
      <c r="D136" s="20" t="n">
        <v>143670</v>
      </c>
      <c r="E136" s="20">
        <f>Model!K25</f>
        <v/>
      </c>
      <c r="F136" s="20">
        <f>E136-D136</f>
        <v/>
      </c>
      <c r="G136" s="20" t="n">
        <v>2</v>
      </c>
      <c r="H136">
        <f>IF(ABS(F136)&lt;=G136,"OK","CHECK")</f>
        <v/>
      </c>
    </row>
    <row r="137">
      <c r="A137" t="inlineStr">
        <is>
          <t>P&amp;L (p.10)</t>
        </is>
      </c>
      <c r="B137" t="inlineStr">
        <is>
          <t>Marketing</t>
        </is>
      </c>
      <c r="C137" t="n">
        <v>2025</v>
      </c>
      <c r="D137" s="20" t="n">
        <v>35394</v>
      </c>
      <c r="E137" s="20">
        <f>Model!B26</f>
        <v/>
      </c>
      <c r="F137" s="20">
        <f>E137-D137</f>
        <v/>
      </c>
      <c r="G137" s="20" t="n">
        <v>2</v>
      </c>
      <c r="H137">
        <f>IF(ABS(F137)&lt;=G137,"OK","CHECK")</f>
        <v/>
      </c>
    </row>
    <row r="138">
      <c r="A138" t="inlineStr">
        <is>
          <t>P&amp;L (p.10)</t>
        </is>
      </c>
      <c r="B138" t="inlineStr">
        <is>
          <t>Marketing</t>
        </is>
      </c>
      <c r="C138" t="n">
        <v>2026</v>
      </c>
      <c r="D138" s="20" t="n">
        <v>44644</v>
      </c>
      <c r="E138" s="20">
        <f>Model!C26</f>
        <v/>
      </c>
      <c r="F138" s="20">
        <f>E138-D138</f>
        <v/>
      </c>
      <c r="G138" s="20" t="n">
        <v>2</v>
      </c>
      <c r="H138">
        <f>IF(ABS(F138)&lt;=G138,"OK","CHECK")</f>
        <v/>
      </c>
    </row>
    <row r="139">
      <c r="A139" t="inlineStr">
        <is>
          <t>P&amp;L (p.10)</t>
        </is>
      </c>
      <c r="B139" t="inlineStr">
        <is>
          <t>Marketing</t>
        </is>
      </c>
      <c r="C139" t="n">
        <v>2027</v>
      </c>
      <c r="D139" s="20" t="n">
        <v>53329</v>
      </c>
      <c r="E139" s="20">
        <f>Model!D26</f>
        <v/>
      </c>
      <c r="F139" s="20">
        <f>E139-D139</f>
        <v/>
      </c>
      <c r="G139" s="20" t="n">
        <v>2</v>
      </c>
      <c r="H139">
        <f>IF(ABS(F139)&lt;=G139,"OK","CHECK")</f>
        <v/>
      </c>
    </row>
    <row r="140">
      <c r="A140" t="inlineStr">
        <is>
          <t>P&amp;L (p.10)</t>
        </is>
      </c>
      <c r="B140" t="inlineStr">
        <is>
          <t>Marketing</t>
        </is>
      </c>
      <c r="C140" t="n">
        <v>2028</v>
      </c>
      <c r="D140" s="20" t="n">
        <v>60497</v>
      </c>
      <c r="E140" s="20">
        <f>Model!E26</f>
        <v/>
      </c>
      <c r="F140" s="20">
        <f>E140-D140</f>
        <v/>
      </c>
      <c r="G140" s="20" t="n">
        <v>2</v>
      </c>
      <c r="H140">
        <f>IF(ABS(F140)&lt;=G140,"OK","CHECK")</f>
        <v/>
      </c>
    </row>
    <row r="141">
      <c r="A141" t="inlineStr">
        <is>
          <t>P&amp;L (p.10)</t>
        </is>
      </c>
      <c r="B141" t="inlineStr">
        <is>
          <t>Marketing</t>
        </is>
      </c>
      <c r="C141" t="n">
        <v>2029</v>
      </c>
      <c r="D141" s="20" t="n">
        <v>61707</v>
      </c>
      <c r="E141" s="20">
        <f>Model!F26</f>
        <v/>
      </c>
      <c r="F141" s="20">
        <f>E141-D141</f>
        <v/>
      </c>
      <c r="G141" s="20" t="n">
        <v>2</v>
      </c>
      <c r="H141">
        <f>IF(ABS(F141)&lt;=G141,"OK","CHECK")</f>
        <v/>
      </c>
    </row>
    <row r="142">
      <c r="A142" t="inlineStr">
        <is>
          <t>P&amp;L (p.10)</t>
        </is>
      </c>
      <c r="B142" t="inlineStr">
        <is>
          <t>Marketing</t>
        </is>
      </c>
      <c r="C142" t="n">
        <v>2030</v>
      </c>
      <c r="D142" s="20" t="n">
        <v>62941</v>
      </c>
      <c r="E142" s="20">
        <f>Model!G26</f>
        <v/>
      </c>
      <c r="F142" s="20">
        <f>E142-D142</f>
        <v/>
      </c>
      <c r="G142" s="20" t="n">
        <v>2</v>
      </c>
      <c r="H142">
        <f>IF(ABS(F142)&lt;=G142,"OK","CHECK")</f>
        <v/>
      </c>
    </row>
    <row r="143">
      <c r="A143" t="inlineStr">
        <is>
          <t>P&amp;L (p.10)</t>
        </is>
      </c>
      <c r="B143" t="inlineStr">
        <is>
          <t>Marketing</t>
        </is>
      </c>
      <c r="C143" t="n">
        <v>2031</v>
      </c>
      <c r="D143" s="20" t="n">
        <v>64200</v>
      </c>
      <c r="E143" s="20">
        <f>Model!H26</f>
        <v/>
      </c>
      <c r="F143" s="20">
        <f>E143-D143</f>
        <v/>
      </c>
      <c r="G143" s="20" t="n">
        <v>2</v>
      </c>
      <c r="H143">
        <f>IF(ABS(F143)&lt;=G143,"OK","CHECK")</f>
        <v/>
      </c>
    </row>
    <row r="144">
      <c r="A144" t="inlineStr">
        <is>
          <t>P&amp;L (p.10)</t>
        </is>
      </c>
      <c r="B144" t="inlineStr">
        <is>
          <t>Marketing</t>
        </is>
      </c>
      <c r="C144" t="n">
        <v>2032</v>
      </c>
      <c r="D144" s="20" t="n">
        <v>65484</v>
      </c>
      <c r="E144" s="20">
        <f>Model!I26</f>
        <v/>
      </c>
      <c r="F144" s="20">
        <f>E144-D144</f>
        <v/>
      </c>
      <c r="G144" s="20" t="n">
        <v>2</v>
      </c>
      <c r="H144">
        <f>IF(ABS(F144)&lt;=G144,"OK","CHECK")</f>
        <v/>
      </c>
    </row>
    <row r="145">
      <c r="A145" t="inlineStr">
        <is>
          <t>P&amp;L (p.10)</t>
        </is>
      </c>
      <c r="B145" t="inlineStr">
        <is>
          <t>Marketing</t>
        </is>
      </c>
      <c r="C145" t="n">
        <v>2033</v>
      </c>
      <c r="D145" s="20" t="n">
        <v>66793</v>
      </c>
      <c r="E145" s="20">
        <f>Model!J26</f>
        <v/>
      </c>
      <c r="F145" s="20">
        <f>E145-D145</f>
        <v/>
      </c>
      <c r="G145" s="20" t="n">
        <v>2</v>
      </c>
      <c r="H145">
        <f>IF(ABS(F145)&lt;=G145,"OK","CHECK")</f>
        <v/>
      </c>
    </row>
    <row r="146">
      <c r="A146" t="inlineStr">
        <is>
          <t>P&amp;L (p.10)</t>
        </is>
      </c>
      <c r="B146" t="inlineStr">
        <is>
          <t>Marketing</t>
        </is>
      </c>
      <c r="C146" t="n">
        <v>2034</v>
      </c>
      <c r="D146" s="20" t="n">
        <v>68129</v>
      </c>
      <c r="E146" s="20">
        <f>Model!K26</f>
        <v/>
      </c>
      <c r="F146" s="20">
        <f>E146-D146</f>
        <v/>
      </c>
      <c r="G146" s="20" t="n">
        <v>2</v>
      </c>
      <c r="H146">
        <f>IF(ABS(F146)&lt;=G146,"OK","CHECK")</f>
        <v/>
      </c>
    </row>
    <row r="147">
      <c r="A147" t="inlineStr">
        <is>
          <t>P&amp;L (p.10)</t>
        </is>
      </c>
      <c r="B147" t="inlineStr">
        <is>
          <t>Property Operations and Maintenance</t>
        </is>
      </c>
      <c r="C147" t="n">
        <v>2025</v>
      </c>
      <c r="D147" s="20" t="n">
        <v>35394</v>
      </c>
      <c r="E147" s="20">
        <f>Model!B27</f>
        <v/>
      </c>
      <c r="F147" s="20">
        <f>E147-D147</f>
        <v/>
      </c>
      <c r="G147" s="20" t="n">
        <v>2</v>
      </c>
      <c r="H147">
        <f>IF(ABS(F147)&lt;=G147,"OK","CHECK")</f>
        <v/>
      </c>
    </row>
    <row r="148">
      <c r="A148" t="inlineStr">
        <is>
          <t>P&amp;L (p.10)</t>
        </is>
      </c>
      <c r="B148" t="inlineStr">
        <is>
          <t>Property Operations and Maintenance</t>
        </is>
      </c>
      <c r="C148" t="n">
        <v>2026</v>
      </c>
      <c r="D148" s="20" t="n">
        <v>44644</v>
      </c>
      <c r="E148" s="20">
        <f>Model!C27</f>
        <v/>
      </c>
      <c r="F148" s="20">
        <f>E148-D148</f>
        <v/>
      </c>
      <c r="G148" s="20" t="n">
        <v>2</v>
      </c>
      <c r="H148">
        <f>IF(ABS(F148)&lt;=G148,"OK","CHECK")</f>
        <v/>
      </c>
    </row>
    <row r="149">
      <c r="A149" t="inlineStr">
        <is>
          <t>P&amp;L (p.10)</t>
        </is>
      </c>
      <c r="B149" t="inlineStr">
        <is>
          <t>Property Operations and Maintenance</t>
        </is>
      </c>
      <c r="C149" t="n">
        <v>2027</v>
      </c>
      <c r="D149" s="20" t="n">
        <v>53329</v>
      </c>
      <c r="E149" s="20">
        <f>Model!D27</f>
        <v/>
      </c>
      <c r="F149" s="20">
        <f>E149-D149</f>
        <v/>
      </c>
      <c r="G149" s="20" t="n">
        <v>2</v>
      </c>
      <c r="H149">
        <f>IF(ABS(F149)&lt;=G149,"OK","CHECK")</f>
        <v/>
      </c>
    </row>
    <row r="150">
      <c r="A150" t="inlineStr">
        <is>
          <t>P&amp;L (p.10)</t>
        </is>
      </c>
      <c r="B150" t="inlineStr">
        <is>
          <t>Property Operations and Maintenance</t>
        </is>
      </c>
      <c r="C150" t="n">
        <v>2028</v>
      </c>
      <c r="D150" s="20" t="n">
        <v>60497</v>
      </c>
      <c r="E150" s="20">
        <f>Model!E27</f>
        <v/>
      </c>
      <c r="F150" s="20">
        <f>E150-D150</f>
        <v/>
      </c>
      <c r="G150" s="20" t="n">
        <v>2</v>
      </c>
      <c r="H150">
        <f>IF(ABS(F150)&lt;=G150,"OK","CHECK")</f>
        <v/>
      </c>
    </row>
    <row r="151">
      <c r="A151" t="inlineStr">
        <is>
          <t>P&amp;L (p.10)</t>
        </is>
      </c>
      <c r="B151" t="inlineStr">
        <is>
          <t>Property Operations and Maintenance</t>
        </is>
      </c>
      <c r="C151" t="n">
        <v>2029</v>
      </c>
      <c r="D151" s="20" t="n">
        <v>61707</v>
      </c>
      <c r="E151" s="20">
        <f>Model!F27</f>
        <v/>
      </c>
      <c r="F151" s="20">
        <f>E151-D151</f>
        <v/>
      </c>
      <c r="G151" s="20" t="n">
        <v>2</v>
      </c>
      <c r="H151">
        <f>IF(ABS(F151)&lt;=G151,"OK","CHECK")</f>
        <v/>
      </c>
    </row>
    <row r="152">
      <c r="A152" t="inlineStr">
        <is>
          <t>P&amp;L (p.10)</t>
        </is>
      </c>
      <c r="B152" t="inlineStr">
        <is>
          <t>Property Operations and Maintenance</t>
        </is>
      </c>
      <c r="C152" t="n">
        <v>2030</v>
      </c>
      <c r="D152" s="20" t="n">
        <v>62941</v>
      </c>
      <c r="E152" s="20">
        <f>Model!G27</f>
        <v/>
      </c>
      <c r="F152" s="20">
        <f>E152-D152</f>
        <v/>
      </c>
      <c r="G152" s="20" t="n">
        <v>2</v>
      </c>
      <c r="H152">
        <f>IF(ABS(F152)&lt;=G152,"OK","CHECK")</f>
        <v/>
      </c>
    </row>
    <row r="153">
      <c r="A153" t="inlineStr">
        <is>
          <t>P&amp;L (p.10)</t>
        </is>
      </c>
      <c r="B153" t="inlineStr">
        <is>
          <t>Property Operations and Maintenance</t>
        </is>
      </c>
      <c r="C153" t="n">
        <v>2031</v>
      </c>
      <c r="D153" s="20" t="n">
        <v>64200</v>
      </c>
      <c r="E153" s="20">
        <f>Model!H27</f>
        <v/>
      </c>
      <c r="F153" s="20">
        <f>E153-D153</f>
        <v/>
      </c>
      <c r="G153" s="20" t="n">
        <v>2</v>
      </c>
      <c r="H153">
        <f>IF(ABS(F153)&lt;=G153,"OK","CHECK")</f>
        <v/>
      </c>
    </row>
    <row r="154">
      <c r="A154" t="inlineStr">
        <is>
          <t>P&amp;L (p.10)</t>
        </is>
      </c>
      <c r="B154" t="inlineStr">
        <is>
          <t>Property Operations and Maintenance</t>
        </is>
      </c>
      <c r="C154" t="n">
        <v>2032</v>
      </c>
      <c r="D154" s="20" t="n">
        <v>65484</v>
      </c>
      <c r="E154" s="20">
        <f>Model!I27</f>
        <v/>
      </c>
      <c r="F154" s="20">
        <f>E154-D154</f>
        <v/>
      </c>
      <c r="G154" s="20" t="n">
        <v>2</v>
      </c>
      <c r="H154">
        <f>IF(ABS(F154)&lt;=G154,"OK","CHECK")</f>
        <v/>
      </c>
    </row>
    <row r="155">
      <c r="A155" t="inlineStr">
        <is>
          <t>P&amp;L (p.10)</t>
        </is>
      </c>
      <c r="B155" t="inlineStr">
        <is>
          <t>Property Operations and Maintenance</t>
        </is>
      </c>
      <c r="C155" t="n">
        <v>2033</v>
      </c>
      <c r="D155" s="20" t="n">
        <v>66793</v>
      </c>
      <c r="E155" s="20">
        <f>Model!J27</f>
        <v/>
      </c>
      <c r="F155" s="20">
        <f>E155-D155</f>
        <v/>
      </c>
      <c r="G155" s="20" t="n">
        <v>2</v>
      </c>
      <c r="H155">
        <f>IF(ABS(F155)&lt;=G155,"OK","CHECK")</f>
        <v/>
      </c>
    </row>
    <row r="156">
      <c r="A156" t="inlineStr">
        <is>
          <t>P&amp;L (p.10)</t>
        </is>
      </c>
      <c r="B156" t="inlineStr">
        <is>
          <t>Property Operations and Maintenance</t>
        </is>
      </c>
      <c r="C156" t="n">
        <v>2034</v>
      </c>
      <c r="D156" s="20" t="n">
        <v>68129</v>
      </c>
      <c r="E156" s="20">
        <f>Model!K27</f>
        <v/>
      </c>
      <c r="F156" s="20">
        <f>E156-D156</f>
        <v/>
      </c>
      <c r="G156" s="20" t="n">
        <v>2</v>
      </c>
      <c r="H156">
        <f>IF(ABS(F156)&lt;=G156,"OK","CHECK")</f>
        <v/>
      </c>
    </row>
    <row r="157">
      <c r="A157" t="inlineStr">
        <is>
          <t>P&amp;L (p.10)</t>
        </is>
      </c>
      <c r="B157" t="inlineStr">
        <is>
          <t>Utility Costs</t>
        </is>
      </c>
      <c r="C157" t="n">
        <v>2025</v>
      </c>
      <c r="D157" s="20" t="n">
        <v>53091</v>
      </c>
      <c r="E157" s="20">
        <f>Model!B28</f>
        <v/>
      </c>
      <c r="F157" s="20">
        <f>E157-D157</f>
        <v/>
      </c>
      <c r="G157" s="20" t="n">
        <v>2</v>
      </c>
      <c r="H157">
        <f>IF(ABS(F157)&lt;=G157,"OK","CHECK")</f>
        <v/>
      </c>
    </row>
    <row r="158">
      <c r="A158" t="inlineStr">
        <is>
          <t>P&amp;L (p.10)</t>
        </is>
      </c>
      <c r="B158" t="inlineStr">
        <is>
          <t>Utility Costs</t>
        </is>
      </c>
      <c r="C158" t="n">
        <v>2026</v>
      </c>
      <c r="D158" s="20" t="n">
        <v>66966</v>
      </c>
      <c r="E158" s="20">
        <f>Model!C28</f>
        <v/>
      </c>
      <c r="F158" s="20">
        <f>E158-D158</f>
        <v/>
      </c>
      <c r="G158" s="20" t="n">
        <v>2</v>
      </c>
      <c r="H158">
        <f>IF(ABS(F158)&lt;=G158,"OK","CHECK")</f>
        <v/>
      </c>
    </row>
    <row r="159">
      <c r="A159" t="inlineStr">
        <is>
          <t>P&amp;L (p.10)</t>
        </is>
      </c>
      <c r="B159" t="inlineStr">
        <is>
          <t>Utility Costs</t>
        </is>
      </c>
      <c r="C159" t="n">
        <v>2027</v>
      </c>
      <c r="D159" s="20" t="n">
        <v>79993</v>
      </c>
      <c r="E159" s="20">
        <f>Model!D28</f>
        <v/>
      </c>
      <c r="F159" s="20">
        <f>E159-D159</f>
        <v/>
      </c>
      <c r="G159" s="20" t="n">
        <v>2</v>
      </c>
      <c r="H159">
        <f>IF(ABS(F159)&lt;=G159,"OK","CHECK")</f>
        <v/>
      </c>
    </row>
    <row r="160">
      <c r="A160" t="inlineStr">
        <is>
          <t>P&amp;L (p.10)</t>
        </is>
      </c>
      <c r="B160" t="inlineStr">
        <is>
          <t>Utility Costs</t>
        </is>
      </c>
      <c r="C160" t="n">
        <v>2028</v>
      </c>
      <c r="D160" s="20" t="n">
        <v>90745</v>
      </c>
      <c r="E160" s="20">
        <f>Model!E28</f>
        <v/>
      </c>
      <c r="F160" s="20">
        <f>E160-D160</f>
        <v/>
      </c>
      <c r="G160" s="20" t="n">
        <v>2</v>
      </c>
      <c r="H160">
        <f>IF(ABS(F160)&lt;=G160,"OK","CHECK")</f>
        <v/>
      </c>
    </row>
    <row r="161">
      <c r="A161" t="inlineStr">
        <is>
          <t>P&amp;L (p.10)</t>
        </is>
      </c>
      <c r="B161" t="inlineStr">
        <is>
          <t>Utility Costs</t>
        </is>
      </c>
      <c r="C161" t="n">
        <v>2029</v>
      </c>
      <c r="D161" s="20" t="n">
        <v>92560</v>
      </c>
      <c r="E161" s="20">
        <f>Model!F28</f>
        <v/>
      </c>
      <c r="F161" s="20">
        <f>E161-D161</f>
        <v/>
      </c>
      <c r="G161" s="20" t="n">
        <v>2</v>
      </c>
      <c r="H161">
        <f>IF(ABS(F161)&lt;=G161,"OK","CHECK")</f>
        <v/>
      </c>
    </row>
    <row r="162">
      <c r="A162" t="inlineStr">
        <is>
          <t>P&amp;L (p.10)</t>
        </is>
      </c>
      <c r="B162" t="inlineStr">
        <is>
          <t>Utility Costs</t>
        </is>
      </c>
      <c r="C162" t="n">
        <v>2030</v>
      </c>
      <c r="D162" s="20" t="n">
        <v>94411</v>
      </c>
      <c r="E162" s="20">
        <f>Model!G28</f>
        <v/>
      </c>
      <c r="F162" s="20">
        <f>E162-D162</f>
        <v/>
      </c>
      <c r="G162" s="20" t="n">
        <v>2</v>
      </c>
      <c r="H162">
        <f>IF(ABS(F162)&lt;=G162,"OK","CHECK")</f>
        <v/>
      </c>
    </row>
    <row r="163">
      <c r="A163" t="inlineStr">
        <is>
          <t>P&amp;L (p.10)</t>
        </is>
      </c>
      <c r="B163" t="inlineStr">
        <is>
          <t>Utility Costs</t>
        </is>
      </c>
      <c r="C163" t="n">
        <v>2031</v>
      </c>
      <c r="D163" s="20" t="n">
        <v>96299</v>
      </c>
      <c r="E163" s="20">
        <f>Model!H28</f>
        <v/>
      </c>
      <c r="F163" s="20">
        <f>E163-D163</f>
        <v/>
      </c>
      <c r="G163" s="20" t="n">
        <v>2</v>
      </c>
      <c r="H163">
        <f>IF(ABS(F163)&lt;=G163,"OK","CHECK")</f>
        <v/>
      </c>
    </row>
    <row r="164">
      <c r="A164" t="inlineStr">
        <is>
          <t>P&amp;L (p.10)</t>
        </is>
      </c>
      <c r="B164" t="inlineStr">
        <is>
          <t>Utility Costs</t>
        </is>
      </c>
      <c r="C164" t="n">
        <v>2032</v>
      </c>
      <c r="D164" s="20" t="n">
        <v>98225</v>
      </c>
      <c r="E164" s="20">
        <f>Model!I28</f>
        <v/>
      </c>
      <c r="F164" s="20">
        <f>E164-D164</f>
        <v/>
      </c>
      <c r="G164" s="20" t="n">
        <v>2</v>
      </c>
      <c r="H164">
        <f>IF(ABS(F164)&lt;=G164,"OK","CHECK")</f>
        <v/>
      </c>
    </row>
    <row r="165">
      <c r="A165" t="inlineStr">
        <is>
          <t>P&amp;L (p.10)</t>
        </is>
      </c>
      <c r="B165" t="inlineStr">
        <is>
          <t>Utility Costs</t>
        </is>
      </c>
      <c r="C165" t="n">
        <v>2033</v>
      </c>
      <c r="D165" s="20" t="n">
        <v>100190</v>
      </c>
      <c r="E165" s="20">
        <f>Model!J28</f>
        <v/>
      </c>
      <c r="F165" s="20">
        <f>E165-D165</f>
        <v/>
      </c>
      <c r="G165" s="20" t="n">
        <v>2</v>
      </c>
      <c r="H165">
        <f>IF(ABS(F165)&lt;=G165,"OK","CHECK")</f>
        <v/>
      </c>
    </row>
    <row r="166">
      <c r="A166" t="inlineStr">
        <is>
          <t>P&amp;L (p.10)</t>
        </is>
      </c>
      <c r="B166" t="inlineStr">
        <is>
          <t>Utility Costs</t>
        </is>
      </c>
      <c r="C166" t="n">
        <v>2034</v>
      </c>
      <c r="D166" s="20" t="n">
        <v>102194</v>
      </c>
      <c r="E166" s="20">
        <f>Model!K28</f>
        <v/>
      </c>
      <c r="F166" s="20">
        <f>E166-D166</f>
        <v/>
      </c>
      <c r="G166" s="20" t="n">
        <v>2</v>
      </c>
      <c r="H166">
        <f>IF(ABS(F166)&lt;=G166,"OK","CHECK")</f>
        <v/>
      </c>
    </row>
    <row r="167">
      <c r="A167" t="inlineStr">
        <is>
          <t>P&amp;L (p.10)</t>
        </is>
      </c>
      <c r="B167" t="inlineStr">
        <is>
          <t>Total undistributed expenses</t>
        </is>
      </c>
      <c r="C167" t="n">
        <v>2025</v>
      </c>
      <c r="D167" s="20" t="n">
        <v>229687</v>
      </c>
      <c r="E167" s="20">
        <f>Model!B29</f>
        <v/>
      </c>
      <c r="F167" s="20">
        <f>E167-D167</f>
        <v/>
      </c>
      <c r="G167" s="20" t="n">
        <v>2</v>
      </c>
      <c r="H167">
        <f>IF(ABS(F167)&lt;=G167,"OK","CHECK")</f>
        <v/>
      </c>
    </row>
    <row r="168">
      <c r="A168" t="inlineStr">
        <is>
          <t>P&amp;L (p.10)</t>
        </is>
      </c>
      <c r="B168" t="inlineStr">
        <is>
          <t>Total undistributed expenses</t>
        </is>
      </c>
      <c r="C168" t="n">
        <v>2026</v>
      </c>
      <c r="D168" s="20" t="n">
        <v>269872</v>
      </c>
      <c r="E168" s="20">
        <f>Model!C29</f>
        <v/>
      </c>
      <c r="F168" s="20">
        <f>E168-D168</f>
        <v/>
      </c>
      <c r="G168" s="20" t="n">
        <v>2</v>
      </c>
      <c r="H168">
        <f>IF(ABS(F168)&lt;=G168,"OK","CHECK")</f>
        <v/>
      </c>
    </row>
    <row r="169">
      <c r="A169" t="inlineStr">
        <is>
          <t>P&amp;L (p.10)</t>
        </is>
      </c>
      <c r="B169" t="inlineStr">
        <is>
          <t>Total undistributed expenses</t>
        </is>
      </c>
      <c r="C169" t="n">
        <v>2027</v>
      </c>
      <c r="D169" s="20" t="n">
        <v>307737</v>
      </c>
      <c r="E169" s="20">
        <f>Model!D29</f>
        <v/>
      </c>
      <c r="F169" s="20">
        <f>E169-D169</f>
        <v/>
      </c>
      <c r="G169" s="20" t="n">
        <v>2</v>
      </c>
      <c r="H169">
        <f>IF(ABS(F169)&lt;=G169,"OK","CHECK")</f>
        <v/>
      </c>
    </row>
    <row r="170">
      <c r="A170" t="inlineStr">
        <is>
          <t>P&amp;L (p.10)</t>
        </is>
      </c>
      <c r="B170" t="inlineStr">
        <is>
          <t>Total undistributed expenses</t>
        </is>
      </c>
      <c r="C170" t="n">
        <v>2028</v>
      </c>
      <c r="D170" s="20" t="n">
        <v>339314</v>
      </c>
      <c r="E170" s="20">
        <f>Model!E29</f>
        <v/>
      </c>
      <c r="F170" s="20">
        <f>E170-D170</f>
        <v/>
      </c>
      <c r="G170" s="20" t="n">
        <v>2</v>
      </c>
      <c r="H170">
        <f>IF(ABS(F170)&lt;=G170,"OK","CHECK")</f>
        <v/>
      </c>
    </row>
    <row r="171">
      <c r="A171" t="inlineStr">
        <is>
          <t>P&amp;L (p.10)</t>
        </is>
      </c>
      <c r="B171" t="inlineStr">
        <is>
          <t>Total undistributed expenses</t>
        </is>
      </c>
      <c r="C171" t="n">
        <v>2029</v>
      </c>
      <c r="D171" s="20" t="n">
        <v>346100</v>
      </c>
      <c r="E171" s="20">
        <f>Model!F29</f>
        <v/>
      </c>
      <c r="F171" s="20">
        <f>E171-D171</f>
        <v/>
      </c>
      <c r="G171" s="20" t="n">
        <v>2</v>
      </c>
      <c r="H171">
        <f>IF(ABS(F171)&lt;=G171,"OK","CHECK")</f>
        <v/>
      </c>
    </row>
    <row r="172">
      <c r="A172" t="inlineStr">
        <is>
          <t>P&amp;L (p.10)</t>
        </is>
      </c>
      <c r="B172" t="inlineStr">
        <is>
          <t>Total undistributed expenses</t>
        </is>
      </c>
      <c r="C172" t="n">
        <v>2030</v>
      </c>
      <c r="D172" s="20" t="n">
        <v>353022</v>
      </c>
      <c r="E172" s="20">
        <f>Model!G29</f>
        <v/>
      </c>
      <c r="F172" s="20">
        <f>E172-D172</f>
        <v/>
      </c>
      <c r="G172" s="20" t="n">
        <v>2</v>
      </c>
      <c r="H172">
        <f>IF(ABS(F172)&lt;=G172,"OK","CHECK")</f>
        <v/>
      </c>
    </row>
    <row r="173">
      <c r="A173" t="inlineStr">
        <is>
          <t>P&amp;L (p.10)</t>
        </is>
      </c>
      <c r="B173" t="inlineStr">
        <is>
          <t>Total undistributed expenses</t>
        </is>
      </c>
      <c r="C173" t="n">
        <v>2031</v>
      </c>
      <c r="D173" s="20" t="n">
        <v>360082</v>
      </c>
      <c r="E173" s="20">
        <f>Model!H29</f>
        <v/>
      </c>
      <c r="F173" s="20">
        <f>E173-D173</f>
        <v/>
      </c>
      <c r="G173" s="20" t="n">
        <v>2</v>
      </c>
      <c r="H173">
        <f>IF(ABS(F173)&lt;=G173,"OK","CHECK")</f>
        <v/>
      </c>
    </row>
    <row r="174">
      <c r="A174" t="inlineStr">
        <is>
          <t>P&amp;L (p.10)</t>
        </is>
      </c>
      <c r="B174" t="inlineStr">
        <is>
          <t>Total undistributed expenses</t>
        </is>
      </c>
      <c r="C174" t="n">
        <v>2032</v>
      </c>
      <c r="D174" s="20" t="n">
        <v>367284</v>
      </c>
      <c r="E174" s="20">
        <f>Model!I29</f>
        <v/>
      </c>
      <c r="F174" s="20">
        <f>E174-D174</f>
        <v/>
      </c>
      <c r="G174" s="20" t="n">
        <v>2</v>
      </c>
      <c r="H174">
        <f>IF(ABS(F174)&lt;=G174,"OK","CHECK")</f>
        <v/>
      </c>
    </row>
    <row r="175">
      <c r="A175" t="inlineStr">
        <is>
          <t>P&amp;L (p.10)</t>
        </is>
      </c>
      <c r="B175" t="inlineStr">
        <is>
          <t>Total undistributed expenses</t>
        </is>
      </c>
      <c r="C175" t="n">
        <v>2033</v>
      </c>
      <c r="D175" s="20" t="n">
        <v>374630</v>
      </c>
      <c r="E175" s="20">
        <f>Model!J29</f>
        <v/>
      </c>
      <c r="F175" s="20">
        <f>E175-D175</f>
        <v/>
      </c>
      <c r="G175" s="20" t="n">
        <v>2</v>
      </c>
      <c r="H175">
        <f>IF(ABS(F175)&lt;=G175,"OK","CHECK")</f>
        <v/>
      </c>
    </row>
    <row r="176">
      <c r="A176" t="inlineStr">
        <is>
          <t>P&amp;L (p.10)</t>
        </is>
      </c>
      <c r="B176" t="inlineStr">
        <is>
          <t>Total undistributed expenses</t>
        </is>
      </c>
      <c r="C176" t="n">
        <v>2034</v>
      </c>
      <c r="D176" s="20" t="n">
        <v>382122</v>
      </c>
      <c r="E176" s="20">
        <f>Model!K29</f>
        <v/>
      </c>
      <c r="F176" s="20">
        <f>E176-D176</f>
        <v/>
      </c>
      <c r="G176" s="20" t="n">
        <v>2</v>
      </c>
      <c r="H176">
        <f>IF(ABS(F176)&lt;=G176,"OK","CHECK")</f>
        <v/>
      </c>
    </row>
    <row r="177">
      <c r="A177" t="inlineStr">
        <is>
          <t>P&amp;L (p.10)</t>
        </is>
      </c>
      <c r="B177" t="inlineStr">
        <is>
          <t>EBITDAR</t>
        </is>
      </c>
      <c r="C177" t="n">
        <v>2025</v>
      </c>
      <c r="D177" s="20" t="n">
        <v>7687</v>
      </c>
      <c r="E177" s="20">
        <f>Model!B31</f>
        <v/>
      </c>
      <c r="F177" s="20">
        <f>E177-D177</f>
        <v/>
      </c>
      <c r="G177" s="20" t="n">
        <v>2</v>
      </c>
      <c r="H177">
        <f>IF(ABS(F177)&lt;=G177,"OK","CHECK")</f>
        <v/>
      </c>
    </row>
    <row r="178">
      <c r="A178" t="inlineStr">
        <is>
          <t>P&amp;L (p.10)</t>
        </is>
      </c>
      <c r="B178" t="inlineStr">
        <is>
          <t>EBITDAR</t>
        </is>
      </c>
      <c r="C178" t="n">
        <v>2026</v>
      </c>
      <c r="D178" s="20" t="n">
        <v>155430</v>
      </c>
      <c r="E178" s="20">
        <f>Model!C31</f>
        <v/>
      </c>
      <c r="F178" s="20">
        <f>E178-D178</f>
        <v/>
      </c>
      <c r="G178" s="20" t="n">
        <v>2</v>
      </c>
      <c r="H178">
        <f>IF(ABS(F178)&lt;=G178,"OK","CHECK")</f>
        <v/>
      </c>
    </row>
    <row r="179">
      <c r="A179" t="inlineStr">
        <is>
          <t>P&amp;L (p.10)</t>
        </is>
      </c>
      <c r="B179" t="inlineStr">
        <is>
          <t>EBITDAR</t>
        </is>
      </c>
      <c r="C179" t="n">
        <v>2027</v>
      </c>
      <c r="D179" s="20" t="n">
        <v>294106</v>
      </c>
      <c r="E179" s="20">
        <f>Model!D31</f>
        <v/>
      </c>
      <c r="F179" s="20">
        <f>E179-D179</f>
        <v/>
      </c>
      <c r="G179" s="20" t="n">
        <v>2</v>
      </c>
      <c r="H179">
        <f>IF(ABS(F179)&lt;=G179,"OK","CHECK")</f>
        <v/>
      </c>
    </row>
    <row r="180">
      <c r="A180" t="inlineStr">
        <is>
          <t>P&amp;L (p.10)</t>
        </is>
      </c>
      <c r="B180" t="inlineStr">
        <is>
          <t>EBITDAR</t>
        </is>
      </c>
      <c r="C180" t="n">
        <v>2028</v>
      </c>
      <c r="D180" s="20" t="n">
        <v>408025</v>
      </c>
      <c r="E180" s="20">
        <f>Model!E31</f>
        <v/>
      </c>
      <c r="F180" s="20">
        <f>E180-D180</f>
        <v/>
      </c>
      <c r="G180" s="20" t="n">
        <v>2</v>
      </c>
      <c r="H180">
        <f>IF(ABS(F180)&lt;=G180,"OK","CHECK")</f>
        <v/>
      </c>
    </row>
    <row r="181">
      <c r="A181" t="inlineStr">
        <is>
          <t>P&amp;L (p.10)</t>
        </is>
      </c>
      <c r="B181" t="inlineStr">
        <is>
          <t>EBITDAR</t>
        </is>
      </c>
      <c r="C181" t="n">
        <v>2029</v>
      </c>
      <c r="D181" s="20" t="n">
        <v>416185</v>
      </c>
      <c r="E181" s="20">
        <f>Model!F31</f>
        <v/>
      </c>
      <c r="F181" s="20">
        <f>E181-D181</f>
        <v/>
      </c>
      <c r="G181" s="20" t="n">
        <v>2</v>
      </c>
      <c r="H181">
        <f>IF(ABS(F181)&lt;=G181,"OK","CHECK")</f>
        <v/>
      </c>
    </row>
    <row r="182">
      <c r="A182" t="inlineStr">
        <is>
          <t>P&amp;L (p.10)</t>
        </is>
      </c>
      <c r="B182" t="inlineStr">
        <is>
          <t>EBITDAR</t>
        </is>
      </c>
      <c r="C182" t="n">
        <v>2030</v>
      </c>
      <c r="D182" s="20" t="n">
        <v>424509</v>
      </c>
      <c r="E182" s="20">
        <f>Model!G31</f>
        <v/>
      </c>
      <c r="F182" s="20">
        <f>E182-D182</f>
        <v/>
      </c>
      <c r="G182" s="20" t="n">
        <v>2</v>
      </c>
      <c r="H182">
        <f>IF(ABS(F182)&lt;=G182,"OK","CHECK")</f>
        <v/>
      </c>
    </row>
    <row r="183">
      <c r="A183" t="inlineStr">
        <is>
          <t>P&amp;L (p.10)</t>
        </is>
      </c>
      <c r="B183" t="inlineStr">
        <is>
          <t>EBITDAR</t>
        </is>
      </c>
      <c r="C183" t="n">
        <v>2031</v>
      </c>
      <c r="D183" s="20" t="n">
        <v>432999</v>
      </c>
      <c r="E183" s="20">
        <f>Model!H31</f>
        <v/>
      </c>
      <c r="F183" s="20">
        <f>E183-D183</f>
        <v/>
      </c>
      <c r="G183" s="20" t="n">
        <v>2</v>
      </c>
      <c r="H183">
        <f>IF(ABS(F183)&lt;=G183,"OK","CHECK")</f>
        <v/>
      </c>
    </row>
    <row r="184">
      <c r="A184" t="inlineStr">
        <is>
          <t>P&amp;L (p.10)</t>
        </is>
      </c>
      <c r="B184" t="inlineStr">
        <is>
          <t>EBITDAR</t>
        </is>
      </c>
      <c r="C184" t="n">
        <v>2032</v>
      </c>
      <c r="D184" s="20" t="n">
        <v>441659</v>
      </c>
      <c r="E184" s="20">
        <f>Model!I31</f>
        <v/>
      </c>
      <c r="F184" s="20">
        <f>E184-D184</f>
        <v/>
      </c>
      <c r="G184" s="20" t="n">
        <v>2</v>
      </c>
      <c r="H184">
        <f>IF(ABS(F184)&lt;=G184,"OK","CHECK")</f>
        <v/>
      </c>
    </row>
    <row r="185">
      <c r="A185" t="inlineStr">
        <is>
          <t>P&amp;L (p.10)</t>
        </is>
      </c>
      <c r="B185" t="inlineStr">
        <is>
          <t>EBITDAR</t>
        </is>
      </c>
      <c r="C185" t="n">
        <v>2033</v>
      </c>
      <c r="D185" s="20" t="n">
        <v>450492</v>
      </c>
      <c r="E185" s="20">
        <f>Model!J31</f>
        <v/>
      </c>
      <c r="F185" s="20">
        <f>E185-D185</f>
        <v/>
      </c>
      <c r="G185" s="20" t="n">
        <v>2</v>
      </c>
      <c r="H185">
        <f>IF(ABS(F185)&lt;=G185,"OK","CHECK")</f>
        <v/>
      </c>
    </row>
    <row r="186">
      <c r="A186" t="inlineStr">
        <is>
          <t>P&amp;L (p.10)</t>
        </is>
      </c>
      <c r="B186" t="inlineStr">
        <is>
          <t>EBITDAR</t>
        </is>
      </c>
      <c r="C186" t="n">
        <v>2034</v>
      </c>
      <c r="D186" s="20" t="n">
        <v>459502</v>
      </c>
      <c r="E186" s="20">
        <f>Model!K31</f>
        <v/>
      </c>
      <c r="F186" s="20">
        <f>E186-D186</f>
        <v/>
      </c>
      <c r="G186" s="20" t="n">
        <v>2</v>
      </c>
      <c r="H186">
        <f>IF(ABS(F186)&lt;=G186,"OK","CHECK")</f>
        <v/>
      </c>
    </row>
    <row r="187">
      <c r="A187" t="inlineStr">
        <is>
          <t>P&amp;L (p.10)</t>
        </is>
      </c>
      <c r="B187" t="inlineStr">
        <is>
          <t>Rent</t>
        </is>
      </c>
      <c r="C187" t="n">
        <v>2025</v>
      </c>
      <c r="D187" s="20" t="n">
        <v>15000</v>
      </c>
      <c r="E187" s="20">
        <f>Model!B33</f>
        <v/>
      </c>
      <c r="F187" s="20">
        <f>E187-D187</f>
        <v/>
      </c>
      <c r="G187" s="20" t="n">
        <v>2</v>
      </c>
      <c r="H187">
        <f>IF(ABS(F187)&lt;=G187,"OK","CHECK")</f>
        <v/>
      </c>
    </row>
    <row r="188">
      <c r="A188" t="inlineStr">
        <is>
          <t>P&amp;L (p.10)</t>
        </is>
      </c>
      <c r="B188" t="inlineStr">
        <is>
          <t>Rent</t>
        </is>
      </c>
      <c r="C188" t="n">
        <v>2026</v>
      </c>
      <c r="D188" s="20" t="n">
        <v>15000</v>
      </c>
      <c r="E188" s="20">
        <f>Model!C33</f>
        <v/>
      </c>
      <c r="F188" s="20">
        <f>E188-D188</f>
        <v/>
      </c>
      <c r="G188" s="20" t="n">
        <v>2</v>
      </c>
      <c r="H188">
        <f>IF(ABS(F188)&lt;=G188,"OK","CHECK")</f>
        <v/>
      </c>
    </row>
    <row r="189">
      <c r="A189" t="inlineStr">
        <is>
          <t>P&amp;L (p.10)</t>
        </is>
      </c>
      <c r="B189" t="inlineStr">
        <is>
          <t>Rent</t>
        </is>
      </c>
      <c r="C189" t="n">
        <v>2027</v>
      </c>
      <c r="D189" s="20" t="n">
        <v>15000</v>
      </c>
      <c r="E189" s="20">
        <f>Model!D33</f>
        <v/>
      </c>
      <c r="F189" s="20">
        <f>E189-D189</f>
        <v/>
      </c>
      <c r="G189" s="20" t="n">
        <v>2</v>
      </c>
      <c r="H189">
        <f>IF(ABS(F189)&lt;=G189,"OK","CHECK")</f>
        <v/>
      </c>
    </row>
    <row r="190">
      <c r="A190" t="inlineStr">
        <is>
          <t>P&amp;L (p.10)</t>
        </is>
      </c>
      <c r="B190" t="inlineStr">
        <is>
          <t>Rent</t>
        </is>
      </c>
      <c r="C190" t="n">
        <v>2028</v>
      </c>
      <c r="D190" s="20" t="n">
        <v>15000</v>
      </c>
      <c r="E190" s="20">
        <f>Model!E33</f>
        <v/>
      </c>
      <c r="F190" s="20">
        <f>E190-D190</f>
        <v/>
      </c>
      <c r="G190" s="20" t="n">
        <v>2</v>
      </c>
      <c r="H190">
        <f>IF(ABS(F190)&lt;=G190,"OK","CHECK")</f>
        <v/>
      </c>
    </row>
    <row r="191">
      <c r="A191" t="inlineStr">
        <is>
          <t>P&amp;L (p.10)</t>
        </is>
      </c>
      <c r="B191" t="inlineStr">
        <is>
          <t>Rent</t>
        </is>
      </c>
      <c r="C191" t="n">
        <v>2029</v>
      </c>
      <c r="D191" s="20" t="n">
        <v>15000</v>
      </c>
      <c r="E191" s="20">
        <f>Model!F33</f>
        <v/>
      </c>
      <c r="F191" s="20">
        <f>E191-D191</f>
        <v/>
      </c>
      <c r="G191" s="20" t="n">
        <v>2</v>
      </c>
      <c r="H191">
        <f>IF(ABS(F191)&lt;=G191,"OK","CHECK")</f>
        <v/>
      </c>
    </row>
    <row r="192">
      <c r="A192" t="inlineStr">
        <is>
          <t>P&amp;L (p.10)</t>
        </is>
      </c>
      <c r="B192" t="inlineStr">
        <is>
          <t>Rent</t>
        </is>
      </c>
      <c r="C192" t="n">
        <v>2030</v>
      </c>
      <c r="D192" s="20" t="n">
        <v>21000</v>
      </c>
      <c r="E192" s="20">
        <f>Model!G33</f>
        <v/>
      </c>
      <c r="F192" s="20">
        <f>E192-D192</f>
        <v/>
      </c>
      <c r="G192" s="20" t="n">
        <v>2</v>
      </c>
      <c r="H192">
        <f>IF(ABS(F192)&lt;=G192,"OK","CHECK")</f>
        <v/>
      </c>
    </row>
    <row r="193">
      <c r="A193" t="inlineStr">
        <is>
          <t>P&amp;L (p.10)</t>
        </is>
      </c>
      <c r="B193" t="inlineStr">
        <is>
          <t>Rent</t>
        </is>
      </c>
      <c r="C193" t="n">
        <v>2031</v>
      </c>
      <c r="D193" s="20" t="n">
        <v>21000</v>
      </c>
      <c r="E193" s="20">
        <f>Model!H33</f>
        <v/>
      </c>
      <c r="F193" s="20">
        <f>E193-D193</f>
        <v/>
      </c>
      <c r="G193" s="20" t="n">
        <v>2</v>
      </c>
      <c r="H193">
        <f>IF(ABS(F193)&lt;=G193,"OK","CHECK")</f>
        <v/>
      </c>
    </row>
    <row r="194">
      <c r="A194" t="inlineStr">
        <is>
          <t>P&amp;L (p.10)</t>
        </is>
      </c>
      <c r="B194" t="inlineStr">
        <is>
          <t>Rent</t>
        </is>
      </c>
      <c r="C194" t="n">
        <v>2032</v>
      </c>
      <c r="D194" s="20" t="n">
        <v>21000</v>
      </c>
      <c r="E194" s="20">
        <f>Model!I33</f>
        <v/>
      </c>
      <c r="F194" s="20">
        <f>E194-D194</f>
        <v/>
      </c>
      <c r="G194" s="20" t="n">
        <v>2</v>
      </c>
      <c r="H194">
        <f>IF(ABS(F194)&lt;=G194,"OK","CHECK")</f>
        <v/>
      </c>
    </row>
    <row r="195">
      <c r="A195" t="inlineStr">
        <is>
          <t>P&amp;L (p.10)</t>
        </is>
      </c>
      <c r="B195" t="inlineStr">
        <is>
          <t>Rent</t>
        </is>
      </c>
      <c r="C195" t="n">
        <v>2033</v>
      </c>
      <c r="D195" s="20" t="n">
        <v>21000</v>
      </c>
      <c r="E195" s="20">
        <f>Model!J33</f>
        <v/>
      </c>
      <c r="F195" s="20">
        <f>E195-D195</f>
        <v/>
      </c>
      <c r="G195" s="20" t="n">
        <v>2</v>
      </c>
      <c r="H195">
        <f>IF(ABS(F195)&lt;=G195,"OK","CHECK")</f>
        <v/>
      </c>
    </row>
    <row r="196">
      <c r="A196" t="inlineStr">
        <is>
          <t>P&amp;L (p.10)</t>
        </is>
      </c>
      <c r="B196" t="inlineStr">
        <is>
          <t>Rent</t>
        </is>
      </c>
      <c r="C196" t="n">
        <v>2034</v>
      </c>
      <c r="D196" s="20" t="n">
        <v>21000</v>
      </c>
      <c r="E196" s="20">
        <f>Model!K33</f>
        <v/>
      </c>
      <c r="F196" s="20">
        <f>E196-D196</f>
        <v/>
      </c>
      <c r="G196" s="20" t="n">
        <v>2</v>
      </c>
      <c r="H196">
        <f>IF(ABS(F196)&lt;=G196,"OK","CHECK")</f>
        <v/>
      </c>
    </row>
    <row r="197">
      <c r="A197" t="inlineStr">
        <is>
          <t>P&amp;L (p.10)</t>
        </is>
      </c>
      <c r="B197" t="inlineStr">
        <is>
          <t>EBITDA</t>
        </is>
      </c>
      <c r="C197" t="n">
        <v>2025</v>
      </c>
      <c r="D197" s="20" t="n">
        <v>-7313</v>
      </c>
      <c r="E197" s="20">
        <f>Model!B34</f>
        <v/>
      </c>
      <c r="F197" s="20">
        <f>E197-D197</f>
        <v/>
      </c>
      <c r="G197" s="20" t="n">
        <v>2</v>
      </c>
      <c r="H197">
        <f>IF(ABS(F197)&lt;=G197,"OK","CHECK")</f>
        <v/>
      </c>
    </row>
    <row r="198">
      <c r="A198" t="inlineStr">
        <is>
          <t>P&amp;L (p.10)</t>
        </is>
      </c>
      <c r="B198" t="inlineStr">
        <is>
          <t>EBITDA</t>
        </is>
      </c>
      <c r="C198" t="n">
        <v>2026</v>
      </c>
      <c r="D198" s="20" t="n">
        <v>140430</v>
      </c>
      <c r="E198" s="20">
        <f>Model!C34</f>
        <v/>
      </c>
      <c r="F198" s="20">
        <f>E198-D198</f>
        <v/>
      </c>
      <c r="G198" s="20" t="n">
        <v>2</v>
      </c>
      <c r="H198">
        <f>IF(ABS(F198)&lt;=G198,"OK","CHECK")</f>
        <v/>
      </c>
    </row>
    <row r="199">
      <c r="A199" t="inlineStr">
        <is>
          <t>P&amp;L (p.10)</t>
        </is>
      </c>
      <c r="B199" t="inlineStr">
        <is>
          <t>EBITDA</t>
        </is>
      </c>
      <c r="C199" t="n">
        <v>2027</v>
      </c>
      <c r="D199" s="20" t="n">
        <v>279106</v>
      </c>
      <c r="E199" s="20">
        <f>Model!D34</f>
        <v/>
      </c>
      <c r="F199" s="20">
        <f>E199-D199</f>
        <v/>
      </c>
      <c r="G199" s="20" t="n">
        <v>2</v>
      </c>
      <c r="H199">
        <f>IF(ABS(F199)&lt;=G199,"OK","CHECK")</f>
        <v/>
      </c>
    </row>
    <row r="200">
      <c r="A200" t="inlineStr">
        <is>
          <t>P&amp;L (p.10)</t>
        </is>
      </c>
      <c r="B200" t="inlineStr">
        <is>
          <t>EBITDA</t>
        </is>
      </c>
      <c r="C200" t="n">
        <v>2028</v>
      </c>
      <c r="D200" s="20" t="n">
        <v>393025</v>
      </c>
      <c r="E200" s="20">
        <f>Model!E34</f>
        <v/>
      </c>
      <c r="F200" s="20">
        <f>E200-D200</f>
        <v/>
      </c>
      <c r="G200" s="20" t="n">
        <v>2</v>
      </c>
      <c r="H200">
        <f>IF(ABS(F200)&lt;=G200,"OK","CHECK")</f>
        <v/>
      </c>
    </row>
    <row r="201">
      <c r="A201" t="inlineStr">
        <is>
          <t>P&amp;L (p.10)</t>
        </is>
      </c>
      <c r="B201" t="inlineStr">
        <is>
          <t>EBITDA</t>
        </is>
      </c>
      <c r="C201" t="n">
        <v>2029</v>
      </c>
      <c r="D201" s="20" t="n">
        <v>401185</v>
      </c>
      <c r="E201" s="20">
        <f>Model!F34</f>
        <v/>
      </c>
      <c r="F201" s="20">
        <f>E201-D201</f>
        <v/>
      </c>
      <c r="G201" s="20" t="n">
        <v>2</v>
      </c>
      <c r="H201">
        <f>IF(ABS(F201)&lt;=G201,"OK","CHECK")</f>
        <v/>
      </c>
    </row>
    <row r="202">
      <c r="A202" t="inlineStr">
        <is>
          <t>P&amp;L (p.10)</t>
        </is>
      </c>
      <c r="B202" t="inlineStr">
        <is>
          <t>EBITDA</t>
        </is>
      </c>
      <c r="C202" t="n">
        <v>2030</v>
      </c>
      <c r="D202" s="20" t="n">
        <v>403509</v>
      </c>
      <c r="E202" s="20">
        <f>Model!G34</f>
        <v/>
      </c>
      <c r="F202" s="20">
        <f>E202-D202</f>
        <v/>
      </c>
      <c r="G202" s="20" t="n">
        <v>2</v>
      </c>
      <c r="H202">
        <f>IF(ABS(F202)&lt;=G202,"OK","CHECK")</f>
        <v/>
      </c>
    </row>
    <row r="203">
      <c r="A203" t="inlineStr">
        <is>
          <t>P&amp;L (p.10)</t>
        </is>
      </c>
      <c r="B203" t="inlineStr">
        <is>
          <t>EBITDA</t>
        </is>
      </c>
      <c r="C203" t="n">
        <v>2031</v>
      </c>
      <c r="D203" s="20" t="n">
        <v>411999</v>
      </c>
      <c r="E203" s="20">
        <f>Model!H34</f>
        <v/>
      </c>
      <c r="F203" s="20">
        <f>E203-D203</f>
        <v/>
      </c>
      <c r="G203" s="20" t="n">
        <v>2</v>
      </c>
      <c r="H203">
        <f>IF(ABS(F203)&lt;=G203,"OK","CHECK")</f>
        <v/>
      </c>
    </row>
    <row r="204">
      <c r="A204" t="inlineStr">
        <is>
          <t>P&amp;L (p.10)</t>
        </is>
      </c>
      <c r="B204" t="inlineStr">
        <is>
          <t>EBITDA</t>
        </is>
      </c>
      <c r="C204" t="n">
        <v>2032</v>
      </c>
      <c r="D204" s="20" t="n">
        <v>420659</v>
      </c>
      <c r="E204" s="20">
        <f>Model!I34</f>
        <v/>
      </c>
      <c r="F204" s="20">
        <f>E204-D204</f>
        <v/>
      </c>
      <c r="G204" s="20" t="n">
        <v>2</v>
      </c>
      <c r="H204">
        <f>IF(ABS(F204)&lt;=G204,"OK","CHECK")</f>
        <v/>
      </c>
    </row>
    <row r="205">
      <c r="A205" t="inlineStr">
        <is>
          <t>P&amp;L (p.10)</t>
        </is>
      </c>
      <c r="B205" t="inlineStr">
        <is>
          <t>EBITDA</t>
        </is>
      </c>
      <c r="C205" t="n">
        <v>2033</v>
      </c>
      <c r="D205" s="20" t="n">
        <v>429492</v>
      </c>
      <c r="E205" s="20">
        <f>Model!J34</f>
        <v/>
      </c>
      <c r="F205" s="20">
        <f>E205-D205</f>
        <v/>
      </c>
      <c r="G205" s="20" t="n">
        <v>2</v>
      </c>
      <c r="H205">
        <f>IF(ABS(F205)&lt;=G205,"OK","CHECK")</f>
        <v/>
      </c>
    </row>
    <row r="206">
      <c r="A206" t="inlineStr">
        <is>
          <t>P&amp;L (p.10)</t>
        </is>
      </c>
      <c r="B206" t="inlineStr">
        <is>
          <t>EBITDA</t>
        </is>
      </c>
      <c r="C206" t="n">
        <v>2034</v>
      </c>
      <c r="D206" s="20" t="n">
        <v>438502</v>
      </c>
      <c r="E206" s="20">
        <f>Model!K34</f>
        <v/>
      </c>
      <c r="F206" s="20">
        <f>E206-D206</f>
        <v/>
      </c>
      <c r="G206" s="20" t="n">
        <v>2</v>
      </c>
      <c r="H206">
        <f>IF(ABS(F206)&lt;=G206,"OK","CHECK")</f>
        <v/>
      </c>
    </row>
    <row r="207">
      <c r="A207" t="inlineStr">
        <is>
          <t>P&amp;L (p.10)</t>
        </is>
      </c>
      <c r="B207" t="inlineStr">
        <is>
          <t>Reserve for replacement</t>
        </is>
      </c>
      <c r="C207" t="n">
        <v>2025</v>
      </c>
      <c r="D207" s="20" t="n">
        <v>11798</v>
      </c>
      <c r="E207" s="20">
        <f>Model!B35</f>
        <v/>
      </c>
      <c r="F207" s="20">
        <f>E207-D207</f>
        <v/>
      </c>
      <c r="G207" s="20" t="n">
        <v>2</v>
      </c>
      <c r="H207">
        <f>IF(ABS(F207)&lt;=G207,"OK","CHECK")</f>
        <v/>
      </c>
    </row>
    <row r="208">
      <c r="A208" t="inlineStr">
        <is>
          <t>P&amp;L (p.10)</t>
        </is>
      </c>
      <c r="B208" t="inlineStr">
        <is>
          <t>Reserve for replacement</t>
        </is>
      </c>
      <c r="C208" t="n">
        <v>2026</v>
      </c>
      <c r="D208" s="20" t="n">
        <v>29763</v>
      </c>
      <c r="E208" s="20">
        <f>Model!C35</f>
        <v/>
      </c>
      <c r="F208" s="20">
        <f>E208-D208</f>
        <v/>
      </c>
      <c r="G208" s="20" t="n">
        <v>2</v>
      </c>
      <c r="H208">
        <f>IF(ABS(F208)&lt;=G208,"OK","CHECK")</f>
        <v/>
      </c>
    </row>
    <row r="209">
      <c r="A209" t="inlineStr">
        <is>
          <t>P&amp;L (p.10)</t>
        </is>
      </c>
      <c r="B209" t="inlineStr">
        <is>
          <t>Reserve for replacement</t>
        </is>
      </c>
      <c r="C209" t="n">
        <v>2027</v>
      </c>
      <c r="D209" s="20" t="n">
        <v>35553</v>
      </c>
      <c r="E209" s="20">
        <f>Model!D35</f>
        <v/>
      </c>
      <c r="F209" s="20">
        <f>E209-D209</f>
        <v/>
      </c>
      <c r="G209" s="20" t="n">
        <v>2</v>
      </c>
      <c r="H209">
        <f>IF(ABS(F209)&lt;=G209,"OK","CHECK")</f>
        <v/>
      </c>
    </row>
    <row r="210">
      <c r="A210" t="inlineStr">
        <is>
          <t>P&amp;L (p.10)</t>
        </is>
      </c>
      <c r="B210" t="inlineStr">
        <is>
          <t>Reserve for replacement</t>
        </is>
      </c>
      <c r="C210" t="n">
        <v>2028</v>
      </c>
      <c r="D210" s="20" t="n">
        <v>40331</v>
      </c>
      <c r="E210" s="20">
        <f>Model!E35</f>
        <v/>
      </c>
      <c r="F210" s="20">
        <f>E210-D210</f>
        <v/>
      </c>
      <c r="G210" s="20" t="n">
        <v>2</v>
      </c>
      <c r="H210">
        <f>IF(ABS(F210)&lt;=G210,"OK","CHECK")</f>
        <v/>
      </c>
    </row>
    <row r="211">
      <c r="A211" t="inlineStr">
        <is>
          <t>P&amp;L (p.10)</t>
        </is>
      </c>
      <c r="B211" t="inlineStr">
        <is>
          <t>Reserve for replacement</t>
        </is>
      </c>
      <c r="C211" t="n">
        <v>2029</v>
      </c>
      <c r="D211" s="20" t="n">
        <v>41138</v>
      </c>
      <c r="E211" s="20">
        <f>Model!F35</f>
        <v/>
      </c>
      <c r="F211" s="20">
        <f>E211-D211</f>
        <v/>
      </c>
      <c r="G211" s="20" t="n">
        <v>2</v>
      </c>
      <c r="H211">
        <f>IF(ABS(F211)&lt;=G211,"OK","CHECK")</f>
        <v/>
      </c>
    </row>
    <row r="212">
      <c r="A212" t="inlineStr">
        <is>
          <t>P&amp;L (p.10)</t>
        </is>
      </c>
      <c r="B212" t="inlineStr">
        <is>
          <t>Reserve for replacement</t>
        </is>
      </c>
      <c r="C212" t="n">
        <v>2030</v>
      </c>
      <c r="D212" s="20" t="n">
        <v>41961</v>
      </c>
      <c r="E212" s="20">
        <f>Model!G35</f>
        <v/>
      </c>
      <c r="F212" s="20">
        <f>E212-D212</f>
        <v/>
      </c>
      <c r="G212" s="20" t="n">
        <v>2</v>
      </c>
      <c r="H212">
        <f>IF(ABS(F212)&lt;=G212,"OK","CHECK")</f>
        <v/>
      </c>
    </row>
    <row r="213">
      <c r="A213" t="inlineStr">
        <is>
          <t>P&amp;L (p.10)</t>
        </is>
      </c>
      <c r="B213" t="inlineStr">
        <is>
          <t>Reserve for replacement</t>
        </is>
      </c>
      <c r="C213" t="n">
        <v>2031</v>
      </c>
      <c r="D213" s="20" t="n">
        <v>42800</v>
      </c>
      <c r="E213" s="20">
        <f>Model!H35</f>
        <v/>
      </c>
      <c r="F213" s="20">
        <f>E213-D213</f>
        <v/>
      </c>
      <c r="G213" s="20" t="n">
        <v>2</v>
      </c>
      <c r="H213">
        <f>IF(ABS(F213)&lt;=G213,"OK","CHECK")</f>
        <v/>
      </c>
    </row>
    <row r="214">
      <c r="A214" t="inlineStr">
        <is>
          <t>P&amp;L (p.10)</t>
        </is>
      </c>
      <c r="B214" t="inlineStr">
        <is>
          <t>Reserve for replacement</t>
        </is>
      </c>
      <c r="C214" t="n">
        <v>2032</v>
      </c>
      <c r="D214" s="20" t="n">
        <v>43656</v>
      </c>
      <c r="E214" s="20">
        <f>Model!I35</f>
        <v/>
      </c>
      <c r="F214" s="20">
        <f>E214-D214</f>
        <v/>
      </c>
      <c r="G214" s="20" t="n">
        <v>2</v>
      </c>
      <c r="H214">
        <f>IF(ABS(F214)&lt;=G214,"OK","CHECK")</f>
        <v/>
      </c>
    </row>
    <row r="215">
      <c r="A215" t="inlineStr">
        <is>
          <t>P&amp;L (p.10)</t>
        </is>
      </c>
      <c r="B215" t="inlineStr">
        <is>
          <t>Reserve for replacement</t>
        </is>
      </c>
      <c r="C215" t="n">
        <v>2033</v>
      </c>
      <c r="D215" s="20" t="n">
        <v>44529</v>
      </c>
      <c r="E215" s="20">
        <f>Model!J35</f>
        <v/>
      </c>
      <c r="F215" s="20">
        <f>E215-D215</f>
        <v/>
      </c>
      <c r="G215" s="20" t="n">
        <v>2</v>
      </c>
      <c r="H215">
        <f>IF(ABS(F215)&lt;=G215,"OK","CHECK")</f>
        <v/>
      </c>
    </row>
    <row r="216">
      <c r="A216" t="inlineStr">
        <is>
          <t>P&amp;L (p.10)</t>
        </is>
      </c>
      <c r="B216" t="inlineStr">
        <is>
          <t>Reserve for replacement</t>
        </is>
      </c>
      <c r="C216" t="n">
        <v>2034</v>
      </c>
      <c r="D216" s="20" t="n">
        <v>45419</v>
      </c>
      <c r="E216" s="20">
        <f>Model!K35</f>
        <v/>
      </c>
      <c r="F216" s="20">
        <f>E216-D216</f>
        <v/>
      </c>
      <c r="G216" s="20" t="n">
        <v>2</v>
      </c>
      <c r="H216">
        <f>IF(ABS(F216)&lt;=G216,"OK","CHECK")</f>
        <v/>
      </c>
    </row>
    <row r="217">
      <c r="A217" t="inlineStr">
        <is>
          <t>P&amp;L (p.10)</t>
        </is>
      </c>
      <c r="B217" t="inlineStr">
        <is>
          <t>Net operating income</t>
        </is>
      </c>
      <c r="C217" t="n">
        <v>2025</v>
      </c>
      <c r="D217" s="20" t="n">
        <v>-19111</v>
      </c>
      <c r="E217" s="20">
        <f>Model!B36</f>
        <v/>
      </c>
      <c r="F217" s="20">
        <f>E217-D217</f>
        <v/>
      </c>
      <c r="G217" s="20" t="n">
        <v>2</v>
      </c>
      <c r="H217">
        <f>IF(ABS(F217)&lt;=G217,"OK","CHECK")</f>
        <v/>
      </c>
    </row>
    <row r="218">
      <c r="A218" t="inlineStr">
        <is>
          <t>P&amp;L (p.10)</t>
        </is>
      </c>
      <c r="B218" t="inlineStr">
        <is>
          <t>Net operating income</t>
        </is>
      </c>
      <c r="C218" t="n">
        <v>2026</v>
      </c>
      <c r="D218" s="20" t="n">
        <v>110667</v>
      </c>
      <c r="E218" s="20">
        <f>Model!C36</f>
        <v/>
      </c>
      <c r="F218" s="20">
        <f>E218-D218</f>
        <v/>
      </c>
      <c r="G218" s="20" t="n">
        <v>2</v>
      </c>
      <c r="H218">
        <f>IF(ABS(F218)&lt;=G218,"OK","CHECK")</f>
        <v/>
      </c>
    </row>
    <row r="219">
      <c r="A219" t="inlineStr">
        <is>
          <t>P&amp;L (p.10)</t>
        </is>
      </c>
      <c r="B219" t="inlineStr">
        <is>
          <t>Net operating income</t>
        </is>
      </c>
      <c r="C219" t="n">
        <v>2027</v>
      </c>
      <c r="D219" s="20" t="n">
        <v>243553</v>
      </c>
      <c r="E219" s="20">
        <f>Model!D36</f>
        <v/>
      </c>
      <c r="F219" s="20">
        <f>E219-D219</f>
        <v/>
      </c>
      <c r="G219" s="20" t="n">
        <v>2</v>
      </c>
      <c r="H219">
        <f>IF(ABS(F219)&lt;=G219,"OK","CHECK")</f>
        <v/>
      </c>
    </row>
    <row r="220">
      <c r="A220" t="inlineStr">
        <is>
          <t>P&amp;L (p.10)</t>
        </is>
      </c>
      <c r="B220" t="inlineStr">
        <is>
          <t>Net operating income</t>
        </is>
      </c>
      <c r="C220" t="n">
        <v>2028</v>
      </c>
      <c r="D220" s="20" t="n">
        <v>352694</v>
      </c>
      <c r="E220" s="20">
        <f>Model!E36</f>
        <v/>
      </c>
      <c r="F220" s="20">
        <f>E220-D220</f>
        <v/>
      </c>
      <c r="G220" s="20" t="n">
        <v>2</v>
      </c>
      <c r="H220">
        <f>IF(ABS(F220)&lt;=G220,"OK","CHECK")</f>
        <v/>
      </c>
    </row>
    <row r="221">
      <c r="A221" t="inlineStr">
        <is>
          <t>P&amp;L (p.10)</t>
        </is>
      </c>
      <c r="B221" t="inlineStr">
        <is>
          <t>Net operating income</t>
        </is>
      </c>
      <c r="C221" t="n">
        <v>2029</v>
      </c>
      <c r="D221" s="20" t="n">
        <v>360048</v>
      </c>
      <c r="E221" s="20">
        <f>Model!F36</f>
        <v/>
      </c>
      <c r="F221" s="20">
        <f>E221-D221</f>
        <v/>
      </c>
      <c r="G221" s="20" t="n">
        <v>2</v>
      </c>
      <c r="H221">
        <f>IF(ABS(F221)&lt;=G221,"OK","CHECK")</f>
        <v/>
      </c>
    </row>
    <row r="222">
      <c r="A222" t="inlineStr">
        <is>
          <t>P&amp;L (p.10)</t>
        </is>
      </c>
      <c r="B222" t="inlineStr">
        <is>
          <t>Net operating income</t>
        </is>
      </c>
      <c r="C222" t="n">
        <v>2030</v>
      </c>
      <c r="D222" s="20" t="n">
        <v>361548</v>
      </c>
      <c r="E222" s="20">
        <f>Model!G36</f>
        <v/>
      </c>
      <c r="F222" s="20">
        <f>E222-D222</f>
        <v/>
      </c>
      <c r="G222" s="20" t="n">
        <v>2</v>
      </c>
      <c r="H222">
        <f>IF(ABS(F222)&lt;=G222,"OK","CHECK")</f>
        <v/>
      </c>
    </row>
    <row r="223">
      <c r="A223" t="inlineStr">
        <is>
          <t>P&amp;L (p.10)</t>
        </is>
      </c>
      <c r="B223" t="inlineStr">
        <is>
          <t>Net operating income</t>
        </is>
      </c>
      <c r="C223" t="n">
        <v>2031</v>
      </c>
      <c r="D223" s="20" t="n">
        <v>369199</v>
      </c>
      <c r="E223" s="20">
        <f>Model!H36</f>
        <v/>
      </c>
      <c r="F223" s="20">
        <f>E223-D223</f>
        <v/>
      </c>
      <c r="G223" s="20" t="n">
        <v>2</v>
      </c>
      <c r="H223">
        <f>IF(ABS(F223)&lt;=G223,"OK","CHECK")</f>
        <v/>
      </c>
    </row>
    <row r="224">
      <c r="A224" t="inlineStr">
        <is>
          <t>P&amp;L (p.10)</t>
        </is>
      </c>
      <c r="B224" t="inlineStr">
        <is>
          <t>Net operating income</t>
        </is>
      </c>
      <c r="C224" t="n">
        <v>2032</v>
      </c>
      <c r="D224" s="20" t="n">
        <v>377003</v>
      </c>
      <c r="E224" s="20">
        <f>Model!I36</f>
        <v/>
      </c>
      <c r="F224" s="20">
        <f>E224-D224</f>
        <v/>
      </c>
      <c r="G224" s="20" t="n">
        <v>2</v>
      </c>
      <c r="H224">
        <f>IF(ABS(F224)&lt;=G224,"OK","CHECK")</f>
        <v/>
      </c>
    </row>
    <row r="225">
      <c r="A225" t="inlineStr">
        <is>
          <t>P&amp;L (p.10)</t>
        </is>
      </c>
      <c r="B225" t="inlineStr">
        <is>
          <t>Net operating income</t>
        </is>
      </c>
      <c r="C225" t="n">
        <v>2033</v>
      </c>
      <c r="D225" s="20" t="n">
        <v>384964</v>
      </c>
      <c r="E225" s="20">
        <f>Model!J36</f>
        <v/>
      </c>
      <c r="F225" s="20">
        <f>E225-D225</f>
        <v/>
      </c>
      <c r="G225" s="20" t="n">
        <v>2</v>
      </c>
      <c r="H225">
        <f>IF(ABS(F225)&lt;=G225,"OK","CHECK")</f>
        <v/>
      </c>
    </row>
    <row r="226">
      <c r="A226" t="inlineStr">
        <is>
          <t>P&amp;L (p.10)</t>
        </is>
      </c>
      <c r="B226" t="inlineStr">
        <is>
          <t>Net operating income</t>
        </is>
      </c>
      <c r="C226" t="n">
        <v>2034</v>
      </c>
      <c r="D226" s="20" t="n">
        <v>393083</v>
      </c>
      <c r="E226" s="20">
        <f>Model!K36</f>
        <v/>
      </c>
      <c r="F226" s="20">
        <f>E226-D226</f>
        <v/>
      </c>
      <c r="G226" s="20" t="n">
        <v>2</v>
      </c>
      <c r="H226">
        <f>IF(ABS(F226)&lt;=G226,"OK","CHECK")</f>
        <v/>
      </c>
    </row>
    <row r="227">
      <c r="A227" t="inlineStr">
        <is>
          <t>Returns (p.11)</t>
        </is>
      </c>
      <c r="B227" t="inlineStr">
        <is>
          <t>NOI</t>
        </is>
      </c>
      <c r="C227" t="n">
        <v>2024</v>
      </c>
      <c r="D227" s="20" t="n">
        <v>-15000</v>
      </c>
      <c r="E227" s="20">
        <f>Returns!B4</f>
        <v/>
      </c>
      <c r="F227" s="20">
        <f>E227-D227</f>
        <v/>
      </c>
      <c r="G227" s="20" t="n">
        <v>1</v>
      </c>
      <c r="H227">
        <f>IF(ABS(F227)&lt;=G227,"OK","CHECK")</f>
        <v/>
      </c>
    </row>
    <row r="228">
      <c r="A228" t="inlineStr">
        <is>
          <t>Returns (p.11)</t>
        </is>
      </c>
      <c r="B228" t="inlineStr">
        <is>
          <t>CAPEX incl. VAT</t>
        </is>
      </c>
      <c r="C228" t="n">
        <v>2024</v>
      </c>
      <c r="D228" s="20" t="n">
        <v>-1984000</v>
      </c>
      <c r="E228" s="20">
        <f>Returns!B5</f>
        <v/>
      </c>
      <c r="F228" s="20">
        <f>E228-D228</f>
        <v/>
      </c>
      <c r="G228" s="20" t="n">
        <v>1</v>
      </c>
      <c r="H228">
        <f>IF(ABS(F228)&lt;=G228,"OK","CHECK")</f>
        <v/>
      </c>
    </row>
    <row r="229">
      <c r="A229" t="inlineStr">
        <is>
          <t>Returns (p.11)</t>
        </is>
      </c>
      <c r="B229" t="inlineStr">
        <is>
          <t>Net cash flow</t>
        </is>
      </c>
      <c r="C229" t="n">
        <v>2024</v>
      </c>
      <c r="D229" s="20" t="n">
        <v>-1999000</v>
      </c>
      <c r="E229" s="20">
        <f>Returns!B8</f>
        <v/>
      </c>
      <c r="F229" s="20">
        <f>E229-D229</f>
        <v/>
      </c>
      <c r="G229" s="20" t="n">
        <v>1</v>
      </c>
      <c r="H229">
        <f>IF(ABS(F229)&lt;=G229,"OK","CHECK")</f>
        <v/>
      </c>
    </row>
    <row r="230">
      <c r="A230" t="inlineStr">
        <is>
          <t>Returns (p.11)</t>
        </is>
      </c>
      <c r="B230" t="inlineStr">
        <is>
          <t>CAPEX VAT recovery</t>
        </is>
      </c>
      <c r="C230" t="n">
        <v>2025</v>
      </c>
      <c r="D230" s="20" t="n">
        <v>384000</v>
      </c>
      <c r="E230" s="20">
        <f>Returns!C6</f>
        <v/>
      </c>
      <c r="F230" s="20">
        <f>E230-D230</f>
        <v/>
      </c>
      <c r="G230" s="20" t="n">
        <v>1</v>
      </c>
      <c r="H230">
        <f>IF(ABS(F230)&lt;=G230,"OK","CHECK")</f>
        <v/>
      </c>
    </row>
    <row r="231">
      <c r="A231" t="inlineStr">
        <is>
          <t>Returns (p.11)</t>
        </is>
      </c>
      <c r="B231" t="inlineStr">
        <is>
          <t>Net cash flow</t>
        </is>
      </c>
      <c r="C231" t="n">
        <v>2025</v>
      </c>
      <c r="D231" s="20" t="n">
        <v>364889</v>
      </c>
      <c r="E231" s="20">
        <f>Returns!C8</f>
        <v/>
      </c>
      <c r="F231" s="20">
        <f>E231-D231</f>
        <v/>
      </c>
      <c r="G231" s="20" t="n">
        <v>2</v>
      </c>
      <c r="H231">
        <f>IF(ABS(F231)&lt;=G231,"OK","CHECK")</f>
        <v/>
      </c>
    </row>
    <row r="232">
      <c r="A232" t="inlineStr">
        <is>
          <t>Returns (p.11)</t>
        </is>
      </c>
      <c r="B232" t="inlineStr">
        <is>
          <t>NOI</t>
        </is>
      </c>
      <c r="C232" t="n">
        <v>2044</v>
      </c>
      <c r="D232" s="20" t="n">
        <v>414765</v>
      </c>
      <c r="E232" s="20">
        <f>Model!U36</f>
        <v/>
      </c>
      <c r="F232" s="20">
        <f>E232-D232</f>
        <v/>
      </c>
      <c r="G232" s="20" t="n">
        <v>2</v>
      </c>
      <c r="H232">
        <f>IF(ABS(F232)&lt;=G232,"OK","CHECK")</f>
        <v/>
      </c>
    </row>
    <row r="233">
      <c r="A233" t="inlineStr">
        <is>
          <t>Returns (p.11)</t>
        </is>
      </c>
      <c r="B233" t="inlineStr">
        <is>
          <t>NPV @ 10%</t>
        </is>
      </c>
      <c r="C233" t="inlineStr"/>
      <c r="D233" s="20" t="n">
        <v>746821</v>
      </c>
      <c r="E233" s="20">
        <f>Returns!B10</f>
        <v/>
      </c>
      <c r="F233" s="20">
        <f>E233-D233</f>
        <v/>
      </c>
      <c r="G233" s="20" t="n">
        <v>25</v>
      </c>
      <c r="H233">
        <f>IF(ABS(F233)&lt;=G233,"OK","CHECK")</f>
        <v/>
      </c>
    </row>
    <row r="234">
      <c r="A234" t="inlineStr">
        <is>
          <t>Returns (p.11)</t>
        </is>
      </c>
      <c r="B234" t="inlineStr">
        <is>
          <t>IRR</t>
        </is>
      </c>
      <c r="C234" t="inlineStr"/>
      <c r="D234" s="29" t="n">
        <v>0.151</v>
      </c>
      <c r="E234" s="29">
        <f>Returns!B11</f>
        <v/>
      </c>
      <c r="F234" s="29">
        <f>E234-D234</f>
        <v/>
      </c>
      <c r="G234" s="29" t="n">
        <v>0.0005</v>
      </c>
      <c r="H234">
        <f>IF(ABS(F234)&lt;=G234,"OK","CHECK")</f>
        <v/>
      </c>
    </row>
  </sheetData>
  <conditionalFormatting sqref="H7:H234">
    <cfRule type="cellIs" priority="1" operator="equal" dxfId="0">
      <formula>"OK"</formula>
    </cfRule>
    <cfRule type="cellIs" priority="2" operator="equal" dxfId="1">
      <formula>"CHECK"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2026-07-16T08:20:58Z</dcterms:created>
  <dcterms:modified xsi:type="dcterms:W3CDTF">2026-07-16T08:20:58Z</dcterms:modified>
</cp:coreProperties>
</file>